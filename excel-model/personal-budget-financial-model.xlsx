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Reporting Categories" sheetId="1" state="visible" r:id="rId1"/>
    <sheet name="Plaid Category Mapping" sheetId="2" state="visible" r:id="rId2"/>
    <sheet name="Monthly Budget" sheetId="3" state="visible" r:id="rId3"/>
    <sheet name="Dashboard" sheetId="4" state="visible" r:id="rId4"/>
    <sheet name="Budget vs Actual" sheetId="5" state="visible" r:id="rId5"/>
    <sheet name="Transaction Log" sheetId="6" state="visible" r:id="rId6"/>
    <sheet name="Assumptions &amp;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548235"/>
      <sz val="11"/>
    </font>
    <font>
      <name val="Calibri"/>
      <b val="1"/>
      <color rgb="00C00000"/>
      <sz val="11"/>
    </font>
    <font>
      <name val="Calibri"/>
      <b val="1"/>
      <sz val="12"/>
    </font>
    <font>
      <name val="Calibri"/>
      <i val="1"/>
      <color rgb="00808080"/>
      <sz val="10"/>
    </font>
    <font>
      <name val="Calibri"/>
      <b val="1"/>
      <sz val="16"/>
    </font>
    <font>
      <name val="Calibri"/>
      <b val="1"/>
      <color rgb="001F3864"/>
      <sz val="11"/>
    </font>
    <font>
      <name val="Calibri"/>
      <b val="1"/>
      <color rgb="002E75B6"/>
      <sz val="11"/>
    </font>
    <font>
      <name val="Calibri"/>
      <color rgb="00548235"/>
      <sz val="11"/>
    </font>
    <font>
      <name val="Calibri"/>
      <i val="1"/>
      <color rgb="00808080"/>
      <sz val="11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EC"/>
        <bgColor rgb="00FCE4EC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548235"/>
        <bgColor rgb="00548235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1" fillId="2" borderId="0" pivotButton="0" quotePrefix="0" xfId="0"/>
    <xf numFmtId="0" fontId="3" fillId="0" borderId="1" pivotButton="0" quotePrefix="0" xfId="0"/>
    <xf numFmtId="0" fontId="5" fillId="4" borderId="1" pivotButton="0" quotePrefix="0" xfId="0"/>
    <xf numFmtId="0" fontId="0" fillId="4" borderId="1" pivotButton="0" quotePrefix="0" xfId="0"/>
    <xf numFmtId="4" fontId="3" fillId="0" borderId="1" pivotButton="0" quotePrefix="0" xfId="0"/>
    <xf numFmtId="4" fontId="4" fillId="0" borderId="1" pivotButton="0" quotePrefix="0" xfId="0"/>
    <xf numFmtId="4" fontId="5" fillId="4" borderId="1" pivotButton="0" quotePrefix="0" xfId="0"/>
    <xf numFmtId="0" fontId="6" fillId="6" borderId="1" pivotButton="0" quotePrefix="0" xfId="0"/>
    <xf numFmtId="0" fontId="0" fillId="6" borderId="1" pivotButton="0" quotePrefix="0" xfId="0"/>
    <xf numFmtId="0" fontId="4" fillId="7" borderId="1" pivotButton="0" quotePrefix="0" xfId="0"/>
    <xf numFmtId="4" fontId="4" fillId="7" borderId="1" pivotButton="0" quotePrefix="0" xfId="0"/>
    <xf numFmtId="0" fontId="4" fillId="0" borderId="1" pivotButton="0" quotePrefix="0" xfId="0"/>
    <xf numFmtId="4" fontId="6" fillId="6" borderId="1" pivotButton="0" quotePrefix="0" xfId="0"/>
    <xf numFmtId="0" fontId="4" fillId="8" borderId="1" pivotButton="0" quotePrefix="0" xfId="0"/>
    <xf numFmtId="4" fontId="4" fillId="8" borderId="1" pivotButton="0" quotePrefix="0" xfId="0"/>
    <xf numFmtId="164" fontId="4" fillId="0" borderId="1" pivotButton="0" quotePrefix="0" xfId="0"/>
    <xf numFmtId="0" fontId="8" fillId="0" borderId="0" pivotButton="0" quotePrefix="0" xfId="0"/>
    <xf numFmtId="0" fontId="2" fillId="9" borderId="0" applyAlignment="1" pivotButton="0" quotePrefix="0" xfId="0">
      <alignment horizontal="center"/>
    </xf>
    <xf numFmtId="0" fontId="0" fillId="9" borderId="0" pivotButton="0" quotePrefix="0" xfId="0"/>
    <xf numFmtId="0" fontId="2" fillId="10" borderId="0" applyAlignment="1" pivotButton="0" quotePrefix="0" xfId="0">
      <alignment horizontal="center"/>
    </xf>
    <xf numFmtId="0" fontId="0" fillId="10" borderId="0" pivotButton="0" quotePrefix="0" xfId="0"/>
    <xf numFmtId="0" fontId="2" fillId="2" borderId="0" applyAlignment="1" pivotButton="0" quotePrefix="0" xfId="0">
      <alignment horizontal="center"/>
    </xf>
    <xf numFmtId="4" fontId="9" fillId="4" borderId="0" applyAlignment="1" pivotButton="0" quotePrefix="0" xfId="0">
      <alignment horizontal="center"/>
    </xf>
    <xf numFmtId="0" fontId="0" fillId="4" borderId="0" pivotButton="0" quotePrefix="0" xfId="0"/>
    <xf numFmtId="4" fontId="9" fillId="6" borderId="0" applyAlignment="1" pivotButton="0" quotePrefix="0" xfId="0">
      <alignment horizontal="center"/>
    </xf>
    <xf numFmtId="0" fontId="0" fillId="6" borderId="0" pivotButton="0" quotePrefix="0" xfId="0"/>
    <xf numFmtId="4" fontId="9" fillId="7" borderId="0" applyAlignment="1" pivotButton="0" quotePrefix="0" xfId="0">
      <alignment horizontal="center"/>
    </xf>
    <xf numFmtId="0" fontId="0" fillId="7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10" fillId="0" borderId="1" pivotButton="0" quotePrefix="0" xfId="0"/>
    <xf numFmtId="0" fontId="4" fillId="0" borderId="0" pivotButton="0" quotePrefix="0" xfId="0"/>
    <xf numFmtId="0" fontId="11" fillId="0" borderId="0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4" fillId="5" borderId="1" pivotButton="0" quotePrefix="0" xfId="0"/>
    <xf numFmtId="4" fontId="4" fillId="5" borderId="1" pivotButton="0" quotePrefix="0" xfId="0"/>
    <xf numFmtId="164" fontId="4" fillId="5" borderId="1" pivotButton="0" quotePrefix="0" xfId="0"/>
    <xf numFmtId="4" fontId="12" fillId="0" borderId="1" pivotButton="0" quotePrefix="0" xfId="0"/>
    <xf numFmtId="0" fontId="3" fillId="0" borderId="1" applyAlignment="1" pivotButton="0" quotePrefix="0" xfId="0">
      <alignment wrapText="1"/>
    </xf>
    <xf numFmtId="0" fontId="1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50" customWidth="1" min="4" max="4"/>
    <col width="45" customWidth="1" min="5" max="5"/>
  </cols>
  <sheetData>
    <row r="1">
      <c r="A1" s="1" t="inlineStr">
        <is>
          <t>Personal Budget – Reporting Categories</t>
        </is>
      </c>
      <c r="B1" s="2" t="n"/>
      <c r="C1" s="2" t="n"/>
      <c r="D1" s="2" t="n"/>
      <c r="E1" s="2" t="n"/>
    </row>
    <row r="3">
      <c r="A3" s="3" t="inlineStr">
        <is>
          <t>#</t>
        </is>
      </c>
      <c r="B3" s="3" t="inlineStr">
        <is>
          <t>Category</t>
        </is>
      </c>
      <c r="C3" s="3" t="inlineStr">
        <is>
          <t>Type</t>
        </is>
      </c>
      <c r="D3" s="3" t="inlineStr">
        <is>
          <t>Description / Examples</t>
        </is>
      </c>
      <c r="E3" s="3" t="inlineStr">
        <is>
          <t>Plaid Mapping</t>
        </is>
      </c>
    </row>
    <row r="4">
      <c r="A4" s="4" t="n">
        <v>1</v>
      </c>
      <c r="B4" s="5" t="inlineStr">
        <is>
          <t>Income</t>
        </is>
      </c>
      <c r="C4" s="4" t="inlineStr">
        <is>
          <t>Income</t>
        </is>
      </c>
      <c r="D4" s="6" t="inlineStr">
        <is>
          <t>Paycheck, transfers in, refunds, interest (positive)</t>
        </is>
      </c>
      <c r="E4" s="6" t="inlineStr">
        <is>
          <t>Income; Transfer &gt; Payroll; Interest (positive)</t>
        </is>
      </c>
    </row>
    <row r="5">
      <c r="A5" s="7" t="n">
        <v>2</v>
      </c>
      <c r="B5" s="8" t="inlineStr">
        <is>
          <t>Housing</t>
        </is>
      </c>
      <c r="C5" s="7" t="inlineStr">
        <is>
          <t>Expense</t>
        </is>
      </c>
      <c r="D5" s="9" t="inlineStr">
        <is>
          <t>Rent, mortgage, property tax, home insurance</t>
        </is>
      </c>
      <c r="E5" s="9" t="inlineStr">
        <is>
          <t>Payment &gt; Rent</t>
        </is>
      </c>
    </row>
    <row r="6">
      <c r="A6" s="7" t="n">
        <v>3</v>
      </c>
      <c r="B6" s="8" t="inlineStr">
        <is>
          <t>Bills &amp; Utilities</t>
        </is>
      </c>
      <c r="C6" s="7" t="inlineStr">
        <is>
          <t>Expense</t>
        </is>
      </c>
      <c r="D6" s="9" t="inlineStr">
        <is>
          <t>Phone, internet, electric, water, gas, insurance premiums</t>
        </is>
      </c>
      <c r="E6" s="9" t="inlineStr">
        <is>
          <t>Utilities; Payment &gt; *; Tax</t>
        </is>
      </c>
    </row>
    <row r="7">
      <c r="A7" s="7" t="n">
        <v>4</v>
      </c>
      <c r="B7" s="8" t="inlineStr">
        <is>
          <t>Groceries</t>
        </is>
      </c>
      <c r="C7" s="7" t="inlineStr">
        <is>
          <t>Expense</t>
        </is>
      </c>
      <c r="D7" s="9" t="inlineStr">
        <is>
          <t>Supermarkets, grocery stores, wholesale clubs</t>
        </is>
      </c>
      <c r="E7" s="9" t="inlineStr">
        <is>
          <t>Food and Drink &gt; Groceries; Shops &gt; Supermarkets</t>
        </is>
      </c>
    </row>
    <row r="8">
      <c r="A8" s="7" t="n">
        <v>5</v>
      </c>
      <c r="B8" s="8" t="inlineStr">
        <is>
          <t>Dining Out</t>
        </is>
      </c>
      <c r="C8" s="7" t="inlineStr">
        <is>
          <t>Expense</t>
        </is>
      </c>
      <c r="D8" s="9" t="inlineStr">
        <is>
          <t>Restaurants, fast food, coffee shops, bars, delivery</t>
        </is>
      </c>
      <c r="E8" s="9" t="inlineStr">
        <is>
          <t>Food and Drink &gt; Restaurants; Food and Drink &gt; *</t>
        </is>
      </c>
    </row>
    <row r="9">
      <c r="A9" s="7" t="n">
        <v>6</v>
      </c>
      <c r="B9" s="8" t="inlineStr">
        <is>
          <t>Transportation</t>
        </is>
      </c>
      <c r="C9" s="7" t="inlineStr">
        <is>
          <t>Expense</t>
        </is>
      </c>
      <c r="D9" s="9" t="inlineStr">
        <is>
          <t>Gas, parking, public transit, rideshare, car maintenance</t>
        </is>
      </c>
      <c r="E9" s="9" t="inlineStr">
        <is>
          <t>Travel &gt; * (non-airline/lodging)</t>
        </is>
      </c>
    </row>
    <row r="10">
      <c r="A10" s="7" t="n">
        <v>7</v>
      </c>
      <c r="B10" s="8" t="inlineStr">
        <is>
          <t>Shopping</t>
        </is>
      </c>
      <c r="C10" s="7" t="inlineStr">
        <is>
          <t>Expense</t>
        </is>
      </c>
      <c r="D10" s="9" t="inlineStr">
        <is>
          <t>Retail, Amazon, clothing, electronics, general merchandise</t>
        </is>
      </c>
      <c r="E10" s="9" t="inlineStr">
        <is>
          <t>Shops &gt; * (non-supermarket)</t>
        </is>
      </c>
    </row>
    <row r="11">
      <c r="A11" s="7" t="n">
        <v>8</v>
      </c>
      <c r="B11" s="8" t="inlineStr">
        <is>
          <t>Entertainment</t>
        </is>
      </c>
      <c r="C11" s="7" t="inlineStr">
        <is>
          <t>Expense</t>
        </is>
      </c>
      <c r="D11" s="9" t="inlineStr">
        <is>
          <t>Streaming services, movies, games, concerts, events</t>
        </is>
      </c>
      <c r="E11" s="9" t="inlineStr">
        <is>
          <t>Recreation</t>
        </is>
      </c>
    </row>
    <row r="12">
      <c r="A12" s="7" t="n">
        <v>9</v>
      </c>
      <c r="B12" s="8" t="inlineStr">
        <is>
          <t>Health</t>
        </is>
      </c>
      <c r="C12" s="7" t="inlineStr">
        <is>
          <t>Expense</t>
        </is>
      </c>
      <c r="D12" s="9" t="inlineStr">
        <is>
          <t>Pharmacy, doctor visits, gym memberships, medical bills</t>
        </is>
      </c>
      <c r="E12" s="9" t="inlineStr">
        <is>
          <t>Healthcare</t>
        </is>
      </c>
    </row>
    <row r="13">
      <c r="A13" s="7" t="n">
        <v>10</v>
      </c>
      <c r="B13" s="8" t="inlineStr">
        <is>
          <t>Travel</t>
        </is>
      </c>
      <c r="C13" s="7" t="inlineStr">
        <is>
          <t>Expense</t>
        </is>
      </c>
      <c r="D13" s="9" t="inlineStr">
        <is>
          <t>Flights, hotels, vacation rentals, travel booking</t>
        </is>
      </c>
      <c r="E13" s="9" t="inlineStr">
        <is>
          <t>Travel &gt; Airlines; Travel &gt; Lodging</t>
        </is>
      </c>
    </row>
    <row r="14">
      <c r="A14" s="7" t="n">
        <v>11</v>
      </c>
      <c r="B14" s="8" t="inlineStr">
        <is>
          <t>Subscriptions</t>
        </is>
      </c>
      <c r="C14" s="7" t="inlineStr">
        <is>
          <t>Expense</t>
        </is>
      </c>
      <c r="D14" s="9" t="inlineStr">
        <is>
          <t>Recurring services (SaaS, news, apps, memberships)</t>
        </is>
      </c>
      <c r="E14" s="9" t="inlineStr">
        <is>
          <t>Service &gt; Subscription</t>
        </is>
      </c>
    </row>
    <row r="15">
      <c r="A15" s="7" t="n">
        <v>12</v>
      </c>
      <c r="B15" s="8" t="inlineStr">
        <is>
          <t>Personal Care</t>
        </is>
      </c>
      <c r="C15" s="7" t="inlineStr">
        <is>
          <t>Expense</t>
        </is>
      </c>
      <c r="D15" s="9" t="inlineStr">
        <is>
          <t>Haircuts, beauty, spa, cosmetics</t>
        </is>
      </c>
      <c r="E15" s="9" t="inlineStr">
        <is>
          <t>Service &gt; Personal Care</t>
        </is>
      </c>
    </row>
    <row r="16">
      <c r="A16" s="7" t="n">
        <v>13</v>
      </c>
      <c r="B16" s="8" t="inlineStr">
        <is>
          <t>Education</t>
        </is>
      </c>
      <c r="C16" s="7" t="inlineStr">
        <is>
          <t>Expense</t>
        </is>
      </c>
      <c r="D16" s="9" t="inlineStr">
        <is>
          <t>Tuition, books, courses, school supplies</t>
        </is>
      </c>
      <c r="E16" s="9" t="inlineStr">
        <is>
          <t>Education-related services</t>
        </is>
      </c>
    </row>
    <row r="17">
      <c r="A17" s="7" t="n">
        <v>14</v>
      </c>
      <c r="B17" s="8" t="inlineStr">
        <is>
          <t>Gifts &amp; Donations</t>
        </is>
      </c>
      <c r="C17" s="7" t="inlineStr">
        <is>
          <t>Expense</t>
        </is>
      </c>
      <c r="D17" s="9" t="inlineStr">
        <is>
          <t>Charitable donations, gifts for others</t>
        </is>
      </c>
      <c r="E17" s="9" t="inlineStr">
        <is>
          <t>Gifts / Donations categories</t>
        </is>
      </c>
    </row>
    <row r="18">
      <c r="A18" s="7" t="n">
        <v>15</v>
      </c>
      <c r="B18" s="8" t="inlineStr">
        <is>
          <t>Fees &amp; Charges</t>
        </is>
      </c>
      <c r="C18" s="7" t="inlineStr">
        <is>
          <t>Expense</t>
        </is>
      </c>
      <c r="D18" s="9" t="inlineStr">
        <is>
          <t>Bank fees, ATM fees, late fees, overdraft charges</t>
        </is>
      </c>
      <c r="E18" s="9" t="inlineStr">
        <is>
          <t>Bank Fees; Interest (negative)</t>
        </is>
      </c>
    </row>
    <row r="19">
      <c r="A19" s="10" t="n">
        <v>16</v>
      </c>
      <c r="B19" s="11" t="inlineStr">
        <is>
          <t>Transfer</t>
        </is>
      </c>
      <c r="C19" s="10" t="inlineStr">
        <is>
          <t>Neutral</t>
        </is>
      </c>
      <c r="D19" s="12" t="inlineStr">
        <is>
          <t>Internal transfers, Venmo/Zelle (often noise, excluded from totals)</t>
        </is>
      </c>
      <c r="E19" s="12" t="inlineStr">
        <is>
          <t>Transfer &gt; Internal; Transfer &gt; *</t>
        </is>
      </c>
    </row>
    <row r="20">
      <c r="A20" s="7" t="n">
        <v>17</v>
      </c>
      <c r="B20" s="8" t="inlineStr">
        <is>
          <t>Other / Uncategorized</t>
        </is>
      </c>
      <c r="C20" s="7" t="inlineStr">
        <is>
          <t>Expense</t>
        </is>
      </c>
      <c r="D20" s="9" t="inlineStr">
        <is>
          <t>Anything that doesn't fit above; fallback category</t>
        </is>
      </c>
      <c r="E20" s="9" t="inlineStr">
        <is>
          <t>Cash Advance; Community; Service &gt; *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0" customWidth="1" min="3" max="3"/>
  </cols>
  <sheetData>
    <row r="1">
      <c r="A1" s="13" t="inlineStr">
        <is>
          <t>Plaid Category → App Category Mapping</t>
        </is>
      </c>
      <c r="B1" s="2" t="n"/>
      <c r="C1" s="2" t="n"/>
    </row>
    <row r="3">
      <c r="A3" s="3" t="inlineStr">
        <is>
          <t>Plaid Category (Primary &gt; Secondary)</t>
        </is>
      </c>
      <c r="B3" s="3" t="inlineStr">
        <is>
          <t>App Category</t>
        </is>
      </c>
      <c r="C3" s="3" t="inlineStr">
        <is>
          <t>Notes</t>
        </is>
      </c>
    </row>
    <row r="4">
      <c r="A4" s="14" t="inlineStr">
        <is>
          <t>Income</t>
        </is>
      </c>
      <c r="B4" s="14" t="inlineStr">
        <is>
          <t>Income</t>
        </is>
      </c>
      <c r="C4" s="14" t="inlineStr">
        <is>
          <t>Direct mapping</t>
        </is>
      </c>
    </row>
    <row r="5">
      <c r="A5" s="14" t="inlineStr">
        <is>
          <t>Transfer &gt; Payroll</t>
        </is>
      </c>
      <c r="B5" s="14" t="inlineStr">
        <is>
          <t>Income</t>
        </is>
      </c>
      <c r="C5" s="14" t="inlineStr">
        <is>
          <t>Payroll deposits</t>
        </is>
      </c>
    </row>
    <row r="6">
      <c r="A6" s="14" t="inlineStr">
        <is>
          <t>Interest (positive)</t>
        </is>
      </c>
      <c r="B6" s="14" t="inlineStr">
        <is>
          <t>Income</t>
        </is>
      </c>
      <c r="C6" s="14" t="inlineStr">
        <is>
          <t>Savings interest, dividends</t>
        </is>
      </c>
    </row>
    <row r="7">
      <c r="A7" s="14" t="inlineStr">
        <is>
          <t>Bank Fees</t>
        </is>
      </c>
      <c r="B7" s="14" t="inlineStr">
        <is>
          <t>Fees &amp; Charges</t>
        </is>
      </c>
      <c r="C7" s="14" t="inlineStr">
        <is>
          <t>All bank fee types</t>
        </is>
      </c>
    </row>
    <row r="8">
      <c r="A8" s="14" t="inlineStr">
        <is>
          <t>Interest (negative)</t>
        </is>
      </c>
      <c r="B8" s="14" t="inlineStr">
        <is>
          <t>Fees &amp; Charges</t>
        </is>
      </c>
      <c r="C8" s="14" t="inlineStr">
        <is>
          <t>Interest charges on credit</t>
        </is>
      </c>
    </row>
    <row r="9">
      <c r="A9" s="14" t="inlineStr">
        <is>
          <t>Cash Advance</t>
        </is>
      </c>
      <c r="B9" s="14" t="inlineStr">
        <is>
          <t>Other</t>
        </is>
      </c>
      <c r="C9" s="14" t="inlineStr">
        <is>
          <t>Rare; flag for review</t>
        </is>
      </c>
    </row>
    <row r="10">
      <c r="A10" s="14" t="inlineStr">
        <is>
          <t>Community</t>
        </is>
      </c>
      <c r="B10" s="14" t="inlineStr">
        <is>
          <t>Other</t>
        </is>
      </c>
      <c r="C10" s="14" t="inlineStr">
        <is>
          <t>Community-related services</t>
        </is>
      </c>
    </row>
    <row r="11">
      <c r="A11" s="14" t="inlineStr">
        <is>
          <t>Food and Drink &gt; Restaurants</t>
        </is>
      </c>
      <c r="B11" s="14" t="inlineStr">
        <is>
          <t>Dining Out</t>
        </is>
      </c>
      <c r="C11" s="14" t="inlineStr">
        <is>
          <t>Includes fast food, cafes</t>
        </is>
      </c>
    </row>
    <row r="12">
      <c r="A12" s="14" t="inlineStr">
        <is>
          <t>Food and Drink &gt; Groceries</t>
        </is>
      </c>
      <c r="B12" s="14" t="inlineStr">
        <is>
          <t>Groceries</t>
        </is>
      </c>
      <c r="C12" s="14" t="inlineStr">
        <is>
          <t>Grocery-specific merchants</t>
        </is>
      </c>
    </row>
    <row r="13">
      <c r="A13" s="14" t="inlineStr">
        <is>
          <t>Food and Drink &gt; Coffee Shop</t>
        </is>
      </c>
      <c r="B13" s="14" t="inlineStr">
        <is>
          <t>Dining Out</t>
        </is>
      </c>
      <c r="C13" s="14" t="inlineStr">
        <is>
          <t>Starbucks, etc.</t>
        </is>
      </c>
    </row>
    <row r="14">
      <c r="A14" s="14" t="inlineStr">
        <is>
          <t>Food and Drink &gt; *</t>
        </is>
      </c>
      <c r="B14" s="14" t="inlineStr">
        <is>
          <t>Dining Out</t>
        </is>
      </c>
      <c r="C14" s="14" t="inlineStr">
        <is>
          <t>Catch-all food &amp; drink</t>
        </is>
      </c>
    </row>
    <row r="15">
      <c r="A15" s="14" t="inlineStr">
        <is>
          <t>Healthcare</t>
        </is>
      </c>
      <c r="B15" s="14" t="inlineStr">
        <is>
          <t>Health</t>
        </is>
      </c>
      <c r="C15" s="14" t="inlineStr">
        <is>
          <t>All healthcare sub-categories</t>
        </is>
      </c>
    </row>
    <row r="16">
      <c r="A16" s="14" t="inlineStr">
        <is>
          <t>Payment &gt; Rent</t>
        </is>
      </c>
      <c r="B16" s="14" t="inlineStr">
        <is>
          <t>Housing</t>
        </is>
      </c>
      <c r="C16" s="14" t="inlineStr">
        <is>
          <t>Rent payments</t>
        </is>
      </c>
    </row>
    <row r="17">
      <c r="A17" s="14" t="inlineStr">
        <is>
          <t>Payment &gt; Mortgage</t>
        </is>
      </c>
      <c r="B17" s="14" t="inlineStr">
        <is>
          <t>Housing</t>
        </is>
      </c>
      <c r="C17" s="14" t="inlineStr">
        <is>
          <t>Mortgage payments</t>
        </is>
      </c>
    </row>
    <row r="18">
      <c r="A18" s="14" t="inlineStr">
        <is>
          <t>Payment &gt; *</t>
        </is>
      </c>
      <c r="B18" s="14" t="inlineStr">
        <is>
          <t>Bills &amp; Utilities</t>
        </is>
      </c>
      <c r="C18" s="14" t="inlineStr">
        <is>
          <t>Other bill payments</t>
        </is>
      </c>
    </row>
    <row r="19">
      <c r="A19" s="14" t="inlineStr">
        <is>
          <t>Recreation</t>
        </is>
      </c>
      <c r="B19" s="14" t="inlineStr">
        <is>
          <t>Entertainment</t>
        </is>
      </c>
      <c r="C19" s="14" t="inlineStr">
        <is>
          <t>All recreation sub-categories</t>
        </is>
      </c>
    </row>
    <row r="20">
      <c r="A20" s="14" t="inlineStr">
        <is>
          <t>Service &gt; Subscription</t>
        </is>
      </c>
      <c r="B20" s="14" t="inlineStr">
        <is>
          <t>Subscriptions</t>
        </is>
      </c>
      <c r="C20" s="14" t="inlineStr">
        <is>
          <t>Recurring service charges</t>
        </is>
      </c>
    </row>
    <row r="21">
      <c r="A21" s="14" t="inlineStr">
        <is>
          <t>Service &gt; Personal Care</t>
        </is>
      </c>
      <c r="B21" s="14" t="inlineStr">
        <is>
          <t>Personal Care</t>
        </is>
      </c>
      <c r="C21" s="14" t="inlineStr">
        <is>
          <t>Haircuts, beauty, spa</t>
        </is>
      </c>
    </row>
    <row r="22">
      <c r="A22" s="14" t="inlineStr">
        <is>
          <t>Service &gt; Financial</t>
        </is>
      </c>
      <c r="B22" s="14" t="inlineStr">
        <is>
          <t>Fees &amp; Charges</t>
        </is>
      </c>
      <c r="C22" s="14" t="inlineStr">
        <is>
          <t>Financial service fees</t>
        </is>
      </c>
    </row>
    <row r="23">
      <c r="A23" s="14" t="inlineStr">
        <is>
          <t>Service &gt; *</t>
        </is>
      </c>
      <c r="B23" s="14" t="inlineStr">
        <is>
          <t>Other</t>
        </is>
      </c>
      <c r="C23" s="14" t="inlineStr">
        <is>
          <t>Catch-all services</t>
        </is>
      </c>
    </row>
    <row r="24">
      <c r="A24" s="14" t="inlineStr">
        <is>
          <t>Shops &gt; Supermarkets</t>
        </is>
      </c>
      <c r="B24" s="14" t="inlineStr">
        <is>
          <t>Groceries</t>
        </is>
      </c>
      <c r="C24" s="14" t="inlineStr">
        <is>
          <t>Supermarket/wholesale</t>
        </is>
      </c>
    </row>
    <row r="25">
      <c r="A25" s="14" t="inlineStr">
        <is>
          <t>Shops &gt; Clothing</t>
        </is>
      </c>
      <c r="B25" s="14" t="inlineStr">
        <is>
          <t>Shopping</t>
        </is>
      </c>
      <c r="C25" s="14" t="inlineStr">
        <is>
          <t>Apparel stores</t>
        </is>
      </c>
    </row>
    <row r="26">
      <c r="A26" s="14" t="inlineStr">
        <is>
          <t>Shops &gt; Electronics</t>
        </is>
      </c>
      <c r="B26" s="14" t="inlineStr">
        <is>
          <t>Shopping</t>
        </is>
      </c>
      <c r="C26" s="14" t="inlineStr">
        <is>
          <t>Tech retail</t>
        </is>
      </c>
    </row>
    <row r="27">
      <c r="A27" s="14" t="inlineStr">
        <is>
          <t>Shops &gt; *</t>
        </is>
      </c>
      <c r="B27" s="14" t="inlineStr">
        <is>
          <t>Shopping</t>
        </is>
      </c>
      <c r="C27" s="14" t="inlineStr">
        <is>
          <t>Catch-all retail</t>
        </is>
      </c>
    </row>
    <row r="28">
      <c r="A28" s="14" t="inlineStr">
        <is>
          <t>Tax</t>
        </is>
      </c>
      <c r="B28" s="14" t="inlineStr">
        <is>
          <t>Bills &amp; Utilities</t>
        </is>
      </c>
      <c r="C28" s="14" t="inlineStr">
        <is>
          <t>Tax payments</t>
        </is>
      </c>
    </row>
    <row r="29">
      <c r="A29" s="14" t="inlineStr">
        <is>
          <t>Transfer &gt; Internal</t>
        </is>
      </c>
      <c r="B29" s="14" t="inlineStr">
        <is>
          <t>Transfer</t>
        </is>
      </c>
      <c r="C29" s="14" t="inlineStr">
        <is>
          <t>Account-to-account; exclude from totals</t>
        </is>
      </c>
    </row>
    <row r="30">
      <c r="A30" s="14" t="inlineStr">
        <is>
          <t>Transfer &gt; Wire</t>
        </is>
      </c>
      <c r="B30" s="14" t="inlineStr">
        <is>
          <t>Transfer</t>
        </is>
      </c>
      <c r="C30" s="14" t="inlineStr">
        <is>
          <t>Wire transfers</t>
        </is>
      </c>
    </row>
    <row r="31">
      <c r="A31" s="14" t="inlineStr">
        <is>
          <t>Transfer &gt; *</t>
        </is>
      </c>
      <c r="B31" s="14" t="inlineStr">
        <is>
          <t>Transfer</t>
        </is>
      </c>
      <c r="C31" s="14" t="inlineStr">
        <is>
          <t>Catch-all transfers</t>
        </is>
      </c>
    </row>
    <row r="32">
      <c r="A32" s="14" t="inlineStr">
        <is>
          <t>Travel &gt; Airlines</t>
        </is>
      </c>
      <c r="B32" s="14" t="inlineStr">
        <is>
          <t>Travel</t>
        </is>
      </c>
      <c r="C32" s="14" t="inlineStr">
        <is>
          <t>Flight bookings</t>
        </is>
      </c>
    </row>
    <row r="33">
      <c r="A33" s="14" t="inlineStr">
        <is>
          <t>Travel &gt; Lodging</t>
        </is>
      </c>
      <c r="B33" s="14" t="inlineStr">
        <is>
          <t>Travel</t>
        </is>
      </c>
      <c r="C33" s="14" t="inlineStr">
        <is>
          <t>Hotels, vacation rentals</t>
        </is>
      </c>
    </row>
    <row r="34">
      <c r="A34" s="14" t="inlineStr">
        <is>
          <t>Travel &gt; Car Rental</t>
        </is>
      </c>
      <c r="B34" s="14" t="inlineStr">
        <is>
          <t>Transportation</t>
        </is>
      </c>
      <c r="C34" s="14" t="inlineStr">
        <is>
          <t>Rental cars</t>
        </is>
      </c>
    </row>
    <row r="35">
      <c r="A35" s="14" t="inlineStr">
        <is>
          <t>Travel &gt; Taxi / Rideshare</t>
        </is>
      </c>
      <c r="B35" s="14" t="inlineStr">
        <is>
          <t>Transportation</t>
        </is>
      </c>
      <c r="C35" s="14" t="inlineStr">
        <is>
          <t>Uber, Lyft, taxis</t>
        </is>
      </c>
    </row>
    <row r="36">
      <c r="A36" s="14" t="inlineStr">
        <is>
          <t>Travel &gt; Gas</t>
        </is>
      </c>
      <c r="B36" s="14" t="inlineStr">
        <is>
          <t>Transportation</t>
        </is>
      </c>
      <c r="C36" s="14" t="inlineStr">
        <is>
          <t>Gas stations</t>
        </is>
      </c>
    </row>
    <row r="37">
      <c r="A37" s="14" t="inlineStr">
        <is>
          <t>Travel &gt; Parking</t>
        </is>
      </c>
      <c r="B37" s="14" t="inlineStr">
        <is>
          <t>Transportation</t>
        </is>
      </c>
      <c r="C37" s="14" t="inlineStr">
        <is>
          <t>Parking fees</t>
        </is>
      </c>
    </row>
    <row r="38">
      <c r="A38" s="14" t="inlineStr">
        <is>
          <t>Travel &gt; Public Transit</t>
        </is>
      </c>
      <c r="B38" s="14" t="inlineStr">
        <is>
          <t>Transportation</t>
        </is>
      </c>
      <c r="C38" s="14" t="inlineStr">
        <is>
          <t>Buses, trains, metro</t>
        </is>
      </c>
    </row>
    <row r="39">
      <c r="A39" s="14" t="inlineStr">
        <is>
          <t>Travel &gt; *</t>
        </is>
      </c>
      <c r="B39" s="14" t="inlineStr">
        <is>
          <t>Transportation</t>
        </is>
      </c>
      <c r="C39" s="14" t="inlineStr">
        <is>
          <t>Other travel</t>
        </is>
      </c>
    </row>
    <row r="40">
      <c r="A40" s="14" t="inlineStr">
        <is>
          <t>Utilities</t>
        </is>
      </c>
      <c r="B40" s="14" t="inlineStr">
        <is>
          <t>Bills &amp; Utilities</t>
        </is>
      </c>
      <c r="C40" s="14" t="inlineStr">
        <is>
          <t>Electric, water, gas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3" t="inlineStr">
        <is>
          <t>Monthly Budget – 12-Month Plan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>
      <c r="A3" s="3" t="inlineStr">
        <is>
          <t>Category</t>
        </is>
      </c>
      <c r="B3" s="3" t="inlineStr">
        <is>
          <t>Jan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Apr</t>
        </is>
      </c>
      <c r="F3" s="3" t="inlineStr">
        <is>
          <t>May</t>
        </is>
      </c>
      <c r="G3" s="3" t="inlineStr">
        <is>
          <t>Jun</t>
        </is>
      </c>
      <c r="H3" s="3" t="inlineStr">
        <is>
          <t>Jul</t>
        </is>
      </c>
      <c r="I3" s="3" t="inlineStr">
        <is>
          <t>Aug</t>
        </is>
      </c>
      <c r="J3" s="3" t="inlineStr">
        <is>
          <t>Sep</t>
        </is>
      </c>
      <c r="K3" s="3" t="inlineStr">
        <is>
          <t>Oct</t>
        </is>
      </c>
      <c r="L3" s="3" t="inlineStr">
        <is>
          <t>Nov</t>
        </is>
      </c>
      <c r="M3" s="3" t="inlineStr">
        <is>
          <t>Dec</t>
        </is>
      </c>
      <c r="N3" s="3" t="inlineStr">
        <is>
          <t>Annual Total</t>
        </is>
      </c>
    </row>
    <row r="4">
      <c r="A4" s="15" t="inlineStr">
        <is>
          <t>INCOME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</row>
    <row r="5">
      <c r="A5" s="14" t="inlineStr">
        <is>
          <t>Salary / Paycheck</t>
        </is>
      </c>
      <c r="B5" s="17" t="n">
        <v>0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8">
        <f>SUM(B5:M5)</f>
        <v/>
      </c>
    </row>
    <row r="6">
      <c r="A6" s="14" t="inlineStr">
        <is>
          <t>Side Income</t>
        </is>
      </c>
      <c r="B6" s="17" t="n">
        <v>0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8">
        <f>SUM(B6:M6)</f>
        <v/>
      </c>
    </row>
    <row r="7">
      <c r="A7" s="14" t="inlineStr">
        <is>
          <t>Interest / Dividends</t>
        </is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8">
        <f>SUM(B7:M7)</f>
        <v/>
      </c>
    </row>
    <row r="8">
      <c r="A8" s="14" t="inlineStr">
        <is>
          <t>Refunds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8">
        <f>SUM(B8:M8)</f>
        <v/>
      </c>
    </row>
    <row r="9">
      <c r="A9" s="14" t="inlineStr">
        <is>
          <t>Other Income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8">
        <f>SUM(B9:M9)</f>
        <v/>
      </c>
    </row>
    <row r="10">
      <c r="A10" s="15" t="inlineStr">
        <is>
          <t>TOTAL INCOME</t>
        </is>
      </c>
      <c r="B10" s="19">
        <f>SUM(B5:B9)</f>
        <v/>
      </c>
      <c r="C10" s="19">
        <f>SUM(C5:C9)</f>
        <v/>
      </c>
      <c r="D10" s="19">
        <f>SUM(D5:D9)</f>
        <v/>
      </c>
      <c r="E10" s="19">
        <f>SUM(E5:E9)</f>
        <v/>
      </c>
      <c r="F10" s="19">
        <f>SUM(F5:F9)</f>
        <v/>
      </c>
      <c r="G10" s="19">
        <f>SUM(G5:G9)</f>
        <v/>
      </c>
      <c r="H10" s="19">
        <f>SUM(H5:H9)</f>
        <v/>
      </c>
      <c r="I10" s="19">
        <f>SUM(I5:I9)</f>
        <v/>
      </c>
      <c r="J10" s="19">
        <f>SUM(J5:J9)</f>
        <v/>
      </c>
      <c r="K10" s="19">
        <f>SUM(K5:K9)</f>
        <v/>
      </c>
      <c r="L10" s="19">
        <f>SUM(L5:L9)</f>
        <v/>
      </c>
      <c r="M10" s="19">
        <f>SUM(M5:M9)</f>
        <v/>
      </c>
      <c r="N10" s="19">
        <f>SUM(N5:N9)</f>
        <v/>
      </c>
    </row>
    <row r="12">
      <c r="A12" s="20" t="inlineStr">
        <is>
          <t>EXPENSES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</row>
    <row r="13">
      <c r="A13" s="22" t="inlineStr">
        <is>
          <t>Housing</t>
        </is>
      </c>
      <c r="B13" s="23">
        <f>SUM(B14:B18)</f>
        <v/>
      </c>
      <c r="C13" s="23">
        <f>SUM(C14:C18)</f>
        <v/>
      </c>
      <c r="D13" s="23">
        <f>SUM(D14:D18)</f>
        <v/>
      </c>
      <c r="E13" s="23">
        <f>SUM(E14:E18)</f>
        <v/>
      </c>
      <c r="F13" s="23">
        <f>SUM(F14:F18)</f>
        <v/>
      </c>
      <c r="G13" s="23">
        <f>SUM(G14:G18)</f>
        <v/>
      </c>
      <c r="H13" s="23">
        <f>SUM(H14:H18)</f>
        <v/>
      </c>
      <c r="I13" s="23">
        <f>SUM(I14:I18)</f>
        <v/>
      </c>
      <c r="J13" s="23">
        <f>SUM(J14:J18)</f>
        <v/>
      </c>
      <c r="K13" s="23">
        <f>SUM(K14:K18)</f>
        <v/>
      </c>
      <c r="L13" s="23">
        <f>SUM(L14:L18)</f>
        <v/>
      </c>
      <c r="M13" s="23">
        <f>SUM(M14:M18)</f>
        <v/>
      </c>
      <c r="N13" s="23">
        <f>SUM(N14:N18)</f>
        <v/>
      </c>
    </row>
    <row r="14">
      <c r="A14" s="14" t="inlineStr">
        <is>
          <t xml:space="preserve">    Rent / Mortgage</t>
        </is>
      </c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>
        <f>SUM(B14:M14)</f>
        <v/>
      </c>
    </row>
    <row r="15">
      <c r="A15" s="14" t="inlineStr">
        <is>
          <t xml:space="preserve">    Property Tax</t>
        </is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>
        <f>SUM(B15:M15)</f>
        <v/>
      </c>
    </row>
    <row r="16">
      <c r="A16" s="14" t="inlineStr">
        <is>
          <t xml:space="preserve">    Home Insurance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>
        <f>SUM(B16:M16)</f>
        <v/>
      </c>
    </row>
    <row r="17">
      <c r="A17" s="14" t="inlineStr">
        <is>
          <t xml:space="preserve">    HOA Fees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>
        <f>SUM(B17:M17)</f>
        <v/>
      </c>
    </row>
    <row r="18">
      <c r="A18" s="14" t="inlineStr">
        <is>
          <t xml:space="preserve">    Home Maintenance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>
        <f>SUM(B18:M18)</f>
        <v/>
      </c>
    </row>
    <row r="19">
      <c r="A19" s="24" t="inlineStr">
        <is>
          <t>Bills &amp; Utilities</t>
        </is>
      </c>
      <c r="B19" s="18">
        <f>SUM(B20:B25)</f>
        <v/>
      </c>
      <c r="C19" s="18">
        <f>SUM(C20:C25)</f>
        <v/>
      </c>
      <c r="D19" s="18">
        <f>SUM(D20:D25)</f>
        <v/>
      </c>
      <c r="E19" s="18">
        <f>SUM(E20:E25)</f>
        <v/>
      </c>
      <c r="F19" s="18">
        <f>SUM(F20:F25)</f>
        <v/>
      </c>
      <c r="G19" s="18">
        <f>SUM(G20:G25)</f>
        <v/>
      </c>
      <c r="H19" s="18">
        <f>SUM(H20:H25)</f>
        <v/>
      </c>
      <c r="I19" s="18">
        <f>SUM(I20:I25)</f>
        <v/>
      </c>
      <c r="J19" s="18">
        <f>SUM(J20:J25)</f>
        <v/>
      </c>
      <c r="K19" s="18">
        <f>SUM(K20:K25)</f>
        <v/>
      </c>
      <c r="L19" s="18">
        <f>SUM(L20:L25)</f>
        <v/>
      </c>
      <c r="M19" s="18">
        <f>SUM(M20:M25)</f>
        <v/>
      </c>
      <c r="N19" s="18">
        <f>SUM(N20:N25)</f>
        <v/>
      </c>
    </row>
    <row r="20">
      <c r="A20" s="14" t="inlineStr">
        <is>
          <t xml:space="preserve">    Electric</t>
        </is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>
        <f>SUM(B20:M20)</f>
        <v/>
      </c>
    </row>
    <row r="21">
      <c r="A21" s="14" t="inlineStr">
        <is>
          <t xml:space="preserve">    Water / Sewer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>
        <f>SUM(B21:M21)</f>
        <v/>
      </c>
    </row>
    <row r="22">
      <c r="A22" s="14" t="inlineStr">
        <is>
          <t xml:space="preserve">    Gas (home)</t>
        </is>
      </c>
      <c r="B22" s="17" t="n">
        <v>0</v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>
        <f>SUM(B22:M22)</f>
        <v/>
      </c>
    </row>
    <row r="23">
      <c r="A23" s="14" t="inlineStr">
        <is>
          <t xml:space="preserve">    Internet</t>
        </is>
      </c>
      <c r="B23" s="17" t="n">
        <v>0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>
        <f>SUM(B23:M23)</f>
        <v/>
      </c>
    </row>
    <row r="24">
      <c r="A24" s="14" t="inlineStr">
        <is>
          <t xml:space="preserve">    Phone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>
        <f>SUM(B24:M24)</f>
        <v/>
      </c>
    </row>
    <row r="25">
      <c r="A25" s="14" t="inlineStr">
        <is>
          <t xml:space="preserve">    Insurance (auto/health/life)</t>
        </is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>
        <f>SUM(B25:M25)</f>
        <v/>
      </c>
    </row>
    <row r="26">
      <c r="A26" s="22" t="inlineStr">
        <is>
          <t>Groceries</t>
        </is>
      </c>
      <c r="B26" s="23">
        <f>SUM(B27:B28)</f>
        <v/>
      </c>
      <c r="C26" s="23">
        <f>SUM(C27:C28)</f>
        <v/>
      </c>
      <c r="D26" s="23">
        <f>SUM(D27:D28)</f>
        <v/>
      </c>
      <c r="E26" s="23">
        <f>SUM(E27:E28)</f>
        <v/>
      </c>
      <c r="F26" s="23">
        <f>SUM(F27:F28)</f>
        <v/>
      </c>
      <c r="G26" s="23">
        <f>SUM(G27:G28)</f>
        <v/>
      </c>
      <c r="H26" s="23">
        <f>SUM(H27:H28)</f>
        <v/>
      </c>
      <c r="I26" s="23">
        <f>SUM(I27:I28)</f>
        <v/>
      </c>
      <c r="J26" s="23">
        <f>SUM(J27:J28)</f>
        <v/>
      </c>
      <c r="K26" s="23">
        <f>SUM(K27:K28)</f>
        <v/>
      </c>
      <c r="L26" s="23">
        <f>SUM(L27:L28)</f>
        <v/>
      </c>
      <c r="M26" s="23">
        <f>SUM(M27:M28)</f>
        <v/>
      </c>
      <c r="N26" s="23">
        <f>SUM(N27:N28)</f>
        <v/>
      </c>
    </row>
    <row r="27">
      <c r="A27" s="14" t="inlineStr">
        <is>
          <t xml:space="preserve">    Grocery Stores</t>
        </is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>
        <f>SUM(B27:M27)</f>
        <v/>
      </c>
    </row>
    <row r="28">
      <c r="A28" s="14" t="inlineStr">
        <is>
          <t xml:space="preserve">    Wholesale Clubs (Costco, etc.)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>
        <f>SUM(B28:M28)</f>
        <v/>
      </c>
    </row>
    <row r="29">
      <c r="A29" s="24" t="inlineStr">
        <is>
          <t>Dining Out</t>
        </is>
      </c>
      <c r="B29" s="18">
        <f>SUM(B30:B33)</f>
        <v/>
      </c>
      <c r="C29" s="18">
        <f>SUM(C30:C33)</f>
        <v/>
      </c>
      <c r="D29" s="18">
        <f>SUM(D30:D33)</f>
        <v/>
      </c>
      <c r="E29" s="18">
        <f>SUM(E30:E33)</f>
        <v/>
      </c>
      <c r="F29" s="18">
        <f>SUM(F30:F33)</f>
        <v/>
      </c>
      <c r="G29" s="18">
        <f>SUM(G30:G33)</f>
        <v/>
      </c>
      <c r="H29" s="18">
        <f>SUM(H30:H33)</f>
        <v/>
      </c>
      <c r="I29" s="18">
        <f>SUM(I30:I33)</f>
        <v/>
      </c>
      <c r="J29" s="18">
        <f>SUM(J30:J33)</f>
        <v/>
      </c>
      <c r="K29" s="18">
        <f>SUM(K30:K33)</f>
        <v/>
      </c>
      <c r="L29" s="18">
        <f>SUM(L30:L33)</f>
        <v/>
      </c>
      <c r="M29" s="18">
        <f>SUM(M30:M33)</f>
        <v/>
      </c>
      <c r="N29" s="18">
        <f>SUM(N30:N33)</f>
        <v/>
      </c>
    </row>
    <row r="30">
      <c r="A30" s="14" t="inlineStr">
        <is>
          <t xml:space="preserve">    Restaurants</t>
        </is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>
        <f>SUM(B30:M30)</f>
        <v/>
      </c>
    </row>
    <row r="31">
      <c r="A31" s="14" t="inlineStr">
        <is>
          <t xml:space="preserve">    Fast Food</t>
        </is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>
        <f>SUM(B31:M31)</f>
        <v/>
      </c>
    </row>
    <row r="32">
      <c r="A32" s="14" t="inlineStr">
        <is>
          <t xml:space="preserve">    Coffee Shops</t>
        </is>
      </c>
      <c r="B32" s="17" t="n">
        <v>0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>
        <f>SUM(B32:M32)</f>
        <v/>
      </c>
    </row>
    <row r="33">
      <c r="A33" s="14" t="inlineStr">
        <is>
          <t xml:space="preserve">    Food Delivery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>
        <f>SUM(B33:M33)</f>
        <v/>
      </c>
    </row>
    <row r="34">
      <c r="A34" s="22" t="inlineStr">
        <is>
          <t>Transportation</t>
        </is>
      </c>
      <c r="B34" s="23">
        <f>SUM(B35:B41)</f>
        <v/>
      </c>
      <c r="C34" s="23">
        <f>SUM(C35:C41)</f>
        <v/>
      </c>
      <c r="D34" s="23">
        <f>SUM(D35:D41)</f>
        <v/>
      </c>
      <c r="E34" s="23">
        <f>SUM(E35:E41)</f>
        <v/>
      </c>
      <c r="F34" s="23">
        <f>SUM(F35:F41)</f>
        <v/>
      </c>
      <c r="G34" s="23">
        <f>SUM(G35:G41)</f>
        <v/>
      </c>
      <c r="H34" s="23">
        <f>SUM(H35:H41)</f>
        <v/>
      </c>
      <c r="I34" s="23">
        <f>SUM(I35:I41)</f>
        <v/>
      </c>
      <c r="J34" s="23">
        <f>SUM(J35:J41)</f>
        <v/>
      </c>
      <c r="K34" s="23">
        <f>SUM(K35:K41)</f>
        <v/>
      </c>
      <c r="L34" s="23">
        <f>SUM(L35:L41)</f>
        <v/>
      </c>
      <c r="M34" s="23">
        <f>SUM(M35:M41)</f>
        <v/>
      </c>
      <c r="N34" s="23">
        <f>SUM(N35:N41)</f>
        <v/>
      </c>
    </row>
    <row r="35">
      <c r="A35" s="14" t="inlineStr">
        <is>
          <t xml:space="preserve">    Gas (auto)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>
        <f>SUM(B35:M35)</f>
        <v/>
      </c>
    </row>
    <row r="36">
      <c r="A36" s="14" t="inlineStr">
        <is>
          <t xml:space="preserve">    Car Payment</t>
        </is>
      </c>
      <c r="B36" s="17" t="n">
        <v>0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>
        <f>SUM(B36:M36)</f>
        <v/>
      </c>
    </row>
    <row r="37">
      <c r="A37" s="14" t="inlineStr">
        <is>
          <t xml:space="preserve">    Car Insurance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>
        <f>SUM(B37:M37)</f>
        <v/>
      </c>
    </row>
    <row r="38">
      <c r="A38" s="14" t="inlineStr">
        <is>
          <t xml:space="preserve">    Parking</t>
        </is>
      </c>
      <c r="B38" s="17" t="n">
        <v>0</v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>
        <f>SUM(B38:M38)</f>
        <v/>
      </c>
    </row>
    <row r="39">
      <c r="A39" s="14" t="inlineStr">
        <is>
          <t xml:space="preserve">    Public Transit</t>
        </is>
      </c>
      <c r="B39" s="17" t="n">
        <v>0</v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>
        <f>SUM(B39:M39)</f>
        <v/>
      </c>
    </row>
    <row r="40">
      <c r="A40" s="14" t="inlineStr">
        <is>
          <t xml:space="preserve">    Rideshare (Uber/Lyft)</t>
        </is>
      </c>
      <c r="B40" s="17" t="n">
        <v>0</v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>
        <f>SUM(B40:M40)</f>
        <v/>
      </c>
    </row>
    <row r="41">
      <c r="A41" s="14" t="inlineStr">
        <is>
          <t xml:space="preserve">    Car Maintenance</t>
        </is>
      </c>
      <c r="B41" s="17" t="n">
        <v>0</v>
      </c>
      <c r="C41" s="17" t="n">
        <v>0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>
        <f>SUM(B41:M41)</f>
        <v/>
      </c>
    </row>
    <row r="42">
      <c r="A42" s="24" t="inlineStr">
        <is>
          <t>Shopping</t>
        </is>
      </c>
      <c r="B42" s="18">
        <f>SUM(B43:B47)</f>
        <v/>
      </c>
      <c r="C42" s="18">
        <f>SUM(C43:C47)</f>
        <v/>
      </c>
      <c r="D42" s="18">
        <f>SUM(D43:D47)</f>
        <v/>
      </c>
      <c r="E42" s="18">
        <f>SUM(E43:E47)</f>
        <v/>
      </c>
      <c r="F42" s="18">
        <f>SUM(F43:F47)</f>
        <v/>
      </c>
      <c r="G42" s="18">
        <f>SUM(G43:G47)</f>
        <v/>
      </c>
      <c r="H42" s="18">
        <f>SUM(H43:H47)</f>
        <v/>
      </c>
      <c r="I42" s="18">
        <f>SUM(I43:I47)</f>
        <v/>
      </c>
      <c r="J42" s="18">
        <f>SUM(J43:J47)</f>
        <v/>
      </c>
      <c r="K42" s="18">
        <f>SUM(K43:K47)</f>
        <v/>
      </c>
      <c r="L42" s="18">
        <f>SUM(L43:L47)</f>
        <v/>
      </c>
      <c r="M42" s="18">
        <f>SUM(M43:M47)</f>
        <v/>
      </c>
      <c r="N42" s="18">
        <f>SUM(N43:N47)</f>
        <v/>
      </c>
    </row>
    <row r="43">
      <c r="A43" s="14" t="inlineStr">
        <is>
          <t xml:space="preserve">    Clothing</t>
        </is>
      </c>
      <c r="B43" s="17" t="n">
        <v>0</v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>
        <f>SUM(B43:M43)</f>
        <v/>
      </c>
    </row>
    <row r="44">
      <c r="A44" s="14" t="inlineStr">
        <is>
          <t xml:space="preserve">    Electronics</t>
        </is>
      </c>
      <c r="B44" s="17" t="n">
        <v>0</v>
      </c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>
        <f>SUM(B44:M44)</f>
        <v/>
      </c>
    </row>
    <row r="45">
      <c r="A45" s="14" t="inlineStr">
        <is>
          <t xml:space="preserve">    Amazon / Online</t>
        </is>
      </c>
      <c r="B45" s="17" t="n">
        <v>0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>
        <f>SUM(B45:M45)</f>
        <v/>
      </c>
    </row>
    <row r="46">
      <c r="A46" s="14" t="inlineStr">
        <is>
          <t xml:space="preserve">    Home Goods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>
        <f>SUM(B46:M46)</f>
        <v/>
      </c>
    </row>
    <row r="47">
      <c r="A47" s="14" t="inlineStr">
        <is>
          <t xml:space="preserve">    General Retail</t>
        </is>
      </c>
      <c r="B47" s="17" t="n">
        <v>0</v>
      </c>
      <c r="C47" s="17" t="n">
        <v>0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>
        <f>SUM(B47:M47)</f>
        <v/>
      </c>
    </row>
    <row r="48">
      <c r="A48" s="22" t="inlineStr">
        <is>
          <t>Entertainment</t>
        </is>
      </c>
      <c r="B48" s="23">
        <f>SUM(B49:B52)</f>
        <v/>
      </c>
      <c r="C48" s="23">
        <f>SUM(C49:C52)</f>
        <v/>
      </c>
      <c r="D48" s="23">
        <f>SUM(D49:D52)</f>
        <v/>
      </c>
      <c r="E48" s="23">
        <f>SUM(E49:E52)</f>
        <v/>
      </c>
      <c r="F48" s="23">
        <f>SUM(F49:F52)</f>
        <v/>
      </c>
      <c r="G48" s="23">
        <f>SUM(G49:G52)</f>
        <v/>
      </c>
      <c r="H48" s="23">
        <f>SUM(H49:H52)</f>
        <v/>
      </c>
      <c r="I48" s="23">
        <f>SUM(I49:I52)</f>
        <v/>
      </c>
      <c r="J48" s="23">
        <f>SUM(J49:J52)</f>
        <v/>
      </c>
      <c r="K48" s="23">
        <f>SUM(K49:K52)</f>
        <v/>
      </c>
      <c r="L48" s="23">
        <f>SUM(L49:L52)</f>
        <v/>
      </c>
      <c r="M48" s="23">
        <f>SUM(M49:M52)</f>
        <v/>
      </c>
      <c r="N48" s="23">
        <f>SUM(N49:N52)</f>
        <v/>
      </c>
    </row>
    <row r="49">
      <c r="A49" s="14" t="inlineStr">
        <is>
          <t xml:space="preserve">    Streaming Services</t>
        </is>
      </c>
      <c r="B49" s="17" t="n">
        <v>0</v>
      </c>
      <c r="C49" s="17" t="n">
        <v>0</v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>
        <f>SUM(B49:M49)</f>
        <v/>
      </c>
    </row>
    <row r="50">
      <c r="A50" s="14" t="inlineStr">
        <is>
          <t xml:space="preserve">    Movies / Events</t>
        </is>
      </c>
      <c r="B50" s="17" t="n">
        <v>0</v>
      </c>
      <c r="C50" s="17" t="n">
        <v>0</v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>
        <f>SUM(B50:M50)</f>
        <v/>
      </c>
    </row>
    <row r="51">
      <c r="A51" s="14" t="inlineStr">
        <is>
          <t xml:space="preserve">    Games</t>
        </is>
      </c>
      <c r="B51" s="17" t="n">
        <v>0</v>
      </c>
      <c r="C51" s="17" t="n">
        <v>0</v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>
        <f>SUM(B51:M51)</f>
        <v/>
      </c>
    </row>
    <row r="52">
      <c r="A52" s="14" t="inlineStr">
        <is>
          <t xml:space="preserve">    Hobbies</t>
        </is>
      </c>
      <c r="B52" s="17" t="n">
        <v>0</v>
      </c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>
        <f>SUM(B52:M52)</f>
        <v/>
      </c>
    </row>
    <row r="53">
      <c r="A53" s="24" t="inlineStr">
        <is>
          <t>Health</t>
        </is>
      </c>
      <c r="B53" s="18">
        <f>SUM(B54:B57)</f>
        <v/>
      </c>
      <c r="C53" s="18">
        <f>SUM(C54:C57)</f>
        <v/>
      </c>
      <c r="D53" s="18">
        <f>SUM(D54:D57)</f>
        <v/>
      </c>
      <c r="E53" s="18">
        <f>SUM(E54:E57)</f>
        <v/>
      </c>
      <c r="F53" s="18">
        <f>SUM(F54:F57)</f>
        <v/>
      </c>
      <c r="G53" s="18">
        <f>SUM(G54:G57)</f>
        <v/>
      </c>
      <c r="H53" s="18">
        <f>SUM(H54:H57)</f>
        <v/>
      </c>
      <c r="I53" s="18">
        <f>SUM(I54:I57)</f>
        <v/>
      </c>
      <c r="J53" s="18">
        <f>SUM(J54:J57)</f>
        <v/>
      </c>
      <c r="K53" s="18">
        <f>SUM(K54:K57)</f>
        <v/>
      </c>
      <c r="L53" s="18">
        <f>SUM(L54:L57)</f>
        <v/>
      </c>
      <c r="M53" s="18">
        <f>SUM(M54:M57)</f>
        <v/>
      </c>
      <c r="N53" s="18">
        <f>SUM(N54:N57)</f>
        <v/>
      </c>
    </row>
    <row r="54">
      <c r="A54" s="14" t="inlineStr">
        <is>
          <t xml:space="preserve">    Pharmacy</t>
        </is>
      </c>
      <c r="B54" s="17" t="n">
        <v>0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>
        <f>SUM(B54:M54)</f>
        <v/>
      </c>
    </row>
    <row r="55">
      <c r="A55" s="14" t="inlineStr">
        <is>
          <t xml:space="preserve">    Doctor / Medical</t>
        </is>
      </c>
      <c r="B55" s="17" t="n">
        <v>0</v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>
        <f>SUM(B55:M55)</f>
        <v/>
      </c>
    </row>
    <row r="56">
      <c r="A56" s="14" t="inlineStr">
        <is>
          <t xml:space="preserve">    Gym Membership</t>
        </is>
      </c>
      <c r="B56" s="17" t="n">
        <v>0</v>
      </c>
      <c r="C56" s="17" t="n">
        <v>0</v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>
        <f>SUM(B56:M56)</f>
        <v/>
      </c>
    </row>
    <row r="57">
      <c r="A57" s="14" t="inlineStr">
        <is>
          <t xml:space="preserve">    Dental / Vision</t>
        </is>
      </c>
      <c r="B57" s="17" t="n">
        <v>0</v>
      </c>
      <c r="C57" s="17" t="n">
        <v>0</v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>
        <f>SUM(B57:M57)</f>
        <v/>
      </c>
    </row>
    <row r="58">
      <c r="A58" s="22" t="inlineStr">
        <is>
          <t>Travel</t>
        </is>
      </c>
      <c r="B58" s="23">
        <f>SUM(B59:B61)</f>
        <v/>
      </c>
      <c r="C58" s="23">
        <f>SUM(C59:C61)</f>
        <v/>
      </c>
      <c r="D58" s="23">
        <f>SUM(D59:D61)</f>
        <v/>
      </c>
      <c r="E58" s="23">
        <f>SUM(E59:E61)</f>
        <v/>
      </c>
      <c r="F58" s="23">
        <f>SUM(F59:F61)</f>
        <v/>
      </c>
      <c r="G58" s="23">
        <f>SUM(G59:G61)</f>
        <v/>
      </c>
      <c r="H58" s="23">
        <f>SUM(H59:H61)</f>
        <v/>
      </c>
      <c r="I58" s="23">
        <f>SUM(I59:I61)</f>
        <v/>
      </c>
      <c r="J58" s="23">
        <f>SUM(J59:J61)</f>
        <v/>
      </c>
      <c r="K58" s="23">
        <f>SUM(K59:K61)</f>
        <v/>
      </c>
      <c r="L58" s="23">
        <f>SUM(L59:L61)</f>
        <v/>
      </c>
      <c r="M58" s="23">
        <f>SUM(M59:M61)</f>
        <v/>
      </c>
      <c r="N58" s="23">
        <f>SUM(N59:N61)</f>
        <v/>
      </c>
    </row>
    <row r="59">
      <c r="A59" s="14" t="inlineStr">
        <is>
          <t xml:space="preserve">    Flights</t>
        </is>
      </c>
      <c r="B59" s="17" t="n">
        <v>0</v>
      </c>
      <c r="C59" s="17" t="n">
        <v>0</v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  <c r="N59" s="17">
        <f>SUM(B59:M59)</f>
        <v/>
      </c>
    </row>
    <row r="60">
      <c r="A60" s="14" t="inlineStr">
        <is>
          <t xml:space="preserve">    Hotels / Lodging</t>
        </is>
      </c>
      <c r="B60" s="17" t="n">
        <v>0</v>
      </c>
      <c r="C60" s="17" t="n">
        <v>0</v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>
        <f>SUM(B60:M60)</f>
        <v/>
      </c>
    </row>
    <row r="61">
      <c r="A61" s="14" t="inlineStr">
        <is>
          <t xml:space="preserve">    Vacation Activities</t>
        </is>
      </c>
      <c r="B61" s="17" t="n">
        <v>0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>
        <f>SUM(B61:M61)</f>
        <v/>
      </c>
    </row>
    <row r="62">
      <c r="A62" s="24" t="inlineStr">
        <is>
          <t>Subscriptions</t>
        </is>
      </c>
      <c r="B62" s="18">
        <f>SUM(B63:B65)</f>
        <v/>
      </c>
      <c r="C62" s="18">
        <f>SUM(C63:C65)</f>
        <v/>
      </c>
      <c r="D62" s="18">
        <f>SUM(D63:D65)</f>
        <v/>
      </c>
      <c r="E62" s="18">
        <f>SUM(E63:E65)</f>
        <v/>
      </c>
      <c r="F62" s="18">
        <f>SUM(F63:F65)</f>
        <v/>
      </c>
      <c r="G62" s="18">
        <f>SUM(G63:G65)</f>
        <v/>
      </c>
      <c r="H62" s="18">
        <f>SUM(H63:H65)</f>
        <v/>
      </c>
      <c r="I62" s="18">
        <f>SUM(I63:I65)</f>
        <v/>
      </c>
      <c r="J62" s="18">
        <f>SUM(J63:J65)</f>
        <v/>
      </c>
      <c r="K62" s="18">
        <f>SUM(K63:K65)</f>
        <v/>
      </c>
      <c r="L62" s="18">
        <f>SUM(L63:L65)</f>
        <v/>
      </c>
      <c r="M62" s="18">
        <f>SUM(M63:M65)</f>
        <v/>
      </c>
      <c r="N62" s="18">
        <f>SUM(N63:N65)</f>
        <v/>
      </c>
    </row>
    <row r="63">
      <c r="A63" s="14" t="inlineStr">
        <is>
          <t xml:space="preserve">    Software / SaaS</t>
        </is>
      </c>
      <c r="B63" s="17" t="n">
        <v>0</v>
      </c>
      <c r="C63" s="17" t="n">
        <v>0</v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>
        <f>SUM(B63:M63)</f>
        <v/>
      </c>
    </row>
    <row r="64">
      <c r="A64" s="14" t="inlineStr">
        <is>
          <t xml:space="preserve">    News / Media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>
        <f>SUM(B64:M64)</f>
        <v/>
      </c>
    </row>
    <row r="65">
      <c r="A65" s="14" t="inlineStr">
        <is>
          <t xml:space="preserve">    App Subscriptions</t>
        </is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>
        <f>SUM(B65:M65)</f>
        <v/>
      </c>
    </row>
    <row r="66">
      <c r="A66" s="22" t="inlineStr">
        <is>
          <t>Personal Care</t>
        </is>
      </c>
      <c r="B66" s="23">
        <f>SUM(B67:B68)</f>
        <v/>
      </c>
      <c r="C66" s="23">
        <f>SUM(C67:C68)</f>
        <v/>
      </c>
      <c r="D66" s="23">
        <f>SUM(D67:D68)</f>
        <v/>
      </c>
      <c r="E66" s="23">
        <f>SUM(E67:E68)</f>
        <v/>
      </c>
      <c r="F66" s="23">
        <f>SUM(F67:F68)</f>
        <v/>
      </c>
      <c r="G66" s="23">
        <f>SUM(G67:G68)</f>
        <v/>
      </c>
      <c r="H66" s="23">
        <f>SUM(H67:H68)</f>
        <v/>
      </c>
      <c r="I66" s="23">
        <f>SUM(I67:I68)</f>
        <v/>
      </c>
      <c r="J66" s="23">
        <f>SUM(J67:J68)</f>
        <v/>
      </c>
      <c r="K66" s="23">
        <f>SUM(K67:K68)</f>
        <v/>
      </c>
      <c r="L66" s="23">
        <f>SUM(L67:L68)</f>
        <v/>
      </c>
      <c r="M66" s="23">
        <f>SUM(M67:M68)</f>
        <v/>
      </c>
      <c r="N66" s="23">
        <f>SUM(N67:N68)</f>
        <v/>
      </c>
    </row>
    <row r="67">
      <c r="A67" s="14" t="inlineStr">
        <is>
          <t xml:space="preserve">    Haircuts / Salon</t>
        </is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>
        <f>SUM(B67:M67)</f>
        <v/>
      </c>
    </row>
    <row r="68">
      <c r="A68" s="14" t="inlineStr">
        <is>
          <t xml:space="preserve">    Beauty / Cosmetics</t>
        </is>
      </c>
      <c r="B68" s="17" t="n">
        <v>0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>
        <f>SUM(B68:M68)</f>
        <v/>
      </c>
    </row>
    <row r="69">
      <c r="A69" s="24" t="inlineStr">
        <is>
          <t>Education</t>
        </is>
      </c>
      <c r="B69" s="18">
        <f>SUM(B70:B71)</f>
        <v/>
      </c>
      <c r="C69" s="18">
        <f>SUM(C70:C71)</f>
        <v/>
      </c>
      <c r="D69" s="18">
        <f>SUM(D70:D71)</f>
        <v/>
      </c>
      <c r="E69" s="18">
        <f>SUM(E70:E71)</f>
        <v/>
      </c>
      <c r="F69" s="18">
        <f>SUM(F70:F71)</f>
        <v/>
      </c>
      <c r="G69" s="18">
        <f>SUM(G70:G71)</f>
        <v/>
      </c>
      <c r="H69" s="18">
        <f>SUM(H70:H71)</f>
        <v/>
      </c>
      <c r="I69" s="18">
        <f>SUM(I70:I71)</f>
        <v/>
      </c>
      <c r="J69" s="18">
        <f>SUM(J70:J71)</f>
        <v/>
      </c>
      <c r="K69" s="18">
        <f>SUM(K70:K71)</f>
        <v/>
      </c>
      <c r="L69" s="18">
        <f>SUM(L70:L71)</f>
        <v/>
      </c>
      <c r="M69" s="18">
        <f>SUM(M70:M71)</f>
        <v/>
      </c>
      <c r="N69" s="18">
        <f>SUM(N70:N71)</f>
        <v/>
      </c>
    </row>
    <row r="70">
      <c r="A70" s="14" t="inlineStr">
        <is>
          <t xml:space="preserve">    Tuition / Courses</t>
        </is>
      </c>
      <c r="B70" s="17" t="n">
        <v>0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>
        <f>SUM(B70:M70)</f>
        <v/>
      </c>
    </row>
    <row r="71">
      <c r="A71" s="14" t="inlineStr">
        <is>
          <t xml:space="preserve">    Books / Supplies</t>
        </is>
      </c>
      <c r="B71" s="17" t="n">
        <v>0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>
        <f>SUM(B71:M71)</f>
        <v/>
      </c>
    </row>
    <row r="72">
      <c r="A72" s="22" t="inlineStr">
        <is>
          <t>Gifts &amp; Donations</t>
        </is>
      </c>
      <c r="B72" s="23">
        <f>SUM(B73:B74)</f>
        <v/>
      </c>
      <c r="C72" s="23">
        <f>SUM(C73:C74)</f>
        <v/>
      </c>
      <c r="D72" s="23">
        <f>SUM(D73:D74)</f>
        <v/>
      </c>
      <c r="E72" s="23">
        <f>SUM(E73:E74)</f>
        <v/>
      </c>
      <c r="F72" s="23">
        <f>SUM(F73:F74)</f>
        <v/>
      </c>
      <c r="G72" s="23">
        <f>SUM(G73:G74)</f>
        <v/>
      </c>
      <c r="H72" s="23">
        <f>SUM(H73:H74)</f>
        <v/>
      </c>
      <c r="I72" s="23">
        <f>SUM(I73:I74)</f>
        <v/>
      </c>
      <c r="J72" s="23">
        <f>SUM(J73:J74)</f>
        <v/>
      </c>
      <c r="K72" s="23">
        <f>SUM(K73:K74)</f>
        <v/>
      </c>
      <c r="L72" s="23">
        <f>SUM(L73:L74)</f>
        <v/>
      </c>
      <c r="M72" s="23">
        <f>SUM(M73:M74)</f>
        <v/>
      </c>
      <c r="N72" s="23">
        <f>SUM(N73:N74)</f>
        <v/>
      </c>
    </row>
    <row r="73">
      <c r="A73" s="14" t="inlineStr">
        <is>
          <t xml:space="preserve">    Charitable Donations</t>
        </is>
      </c>
      <c r="B73" s="17" t="n">
        <v>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>
        <f>SUM(B73:M73)</f>
        <v/>
      </c>
    </row>
    <row r="74">
      <c r="A74" s="14" t="inlineStr">
        <is>
          <t xml:space="preserve">    Gifts</t>
        </is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>
        <f>SUM(B74:M74)</f>
        <v/>
      </c>
    </row>
    <row r="75">
      <c r="A75" s="24" t="inlineStr">
        <is>
          <t>Fees &amp; Charges</t>
        </is>
      </c>
      <c r="B75" s="18">
        <f>SUM(B76:B78)</f>
        <v/>
      </c>
      <c r="C75" s="18">
        <f>SUM(C76:C78)</f>
        <v/>
      </c>
      <c r="D75" s="18">
        <f>SUM(D76:D78)</f>
        <v/>
      </c>
      <c r="E75" s="18">
        <f>SUM(E76:E78)</f>
        <v/>
      </c>
      <c r="F75" s="18">
        <f>SUM(F76:F78)</f>
        <v/>
      </c>
      <c r="G75" s="18">
        <f>SUM(G76:G78)</f>
        <v/>
      </c>
      <c r="H75" s="18">
        <f>SUM(H76:H78)</f>
        <v/>
      </c>
      <c r="I75" s="18">
        <f>SUM(I76:I78)</f>
        <v/>
      </c>
      <c r="J75" s="18">
        <f>SUM(J76:J78)</f>
        <v/>
      </c>
      <c r="K75" s="18">
        <f>SUM(K76:K78)</f>
        <v/>
      </c>
      <c r="L75" s="18">
        <f>SUM(L76:L78)</f>
        <v/>
      </c>
      <c r="M75" s="18">
        <f>SUM(M76:M78)</f>
        <v/>
      </c>
      <c r="N75" s="18">
        <f>SUM(N76:N78)</f>
        <v/>
      </c>
    </row>
    <row r="76">
      <c r="A76" s="14" t="inlineStr">
        <is>
          <t xml:space="preserve">    Bank Fees</t>
        </is>
      </c>
      <c r="B76" s="17" t="n">
        <v>0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>
        <f>SUM(B76:M76)</f>
        <v/>
      </c>
    </row>
    <row r="77">
      <c r="A77" s="14" t="inlineStr">
        <is>
          <t xml:space="preserve">    ATM Fees</t>
        </is>
      </c>
      <c r="B77" s="17" t="n">
        <v>0</v>
      </c>
      <c r="C77" s="17" t="n">
        <v>0</v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>
        <f>SUM(B77:M77)</f>
        <v/>
      </c>
    </row>
    <row r="78">
      <c r="A78" s="14" t="inlineStr">
        <is>
          <t xml:space="preserve">    Late Fees / Penalties</t>
        </is>
      </c>
      <c r="B78" s="17" t="n">
        <v>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>
        <f>SUM(B78:M78)</f>
        <v/>
      </c>
    </row>
    <row r="79">
      <c r="A79" s="22" t="inlineStr">
        <is>
          <t>Other / Uncategorized</t>
        </is>
      </c>
      <c r="B79" s="23">
        <f>SUM(B80:B80)</f>
        <v/>
      </c>
      <c r="C79" s="23">
        <f>SUM(C80:C80)</f>
        <v/>
      </c>
      <c r="D79" s="23">
        <f>SUM(D80:D80)</f>
        <v/>
      </c>
      <c r="E79" s="23">
        <f>SUM(E80:E80)</f>
        <v/>
      </c>
      <c r="F79" s="23">
        <f>SUM(F80:F80)</f>
        <v/>
      </c>
      <c r="G79" s="23">
        <f>SUM(G80:G80)</f>
        <v/>
      </c>
      <c r="H79" s="23">
        <f>SUM(H80:H80)</f>
        <v/>
      </c>
      <c r="I79" s="23">
        <f>SUM(I80:I80)</f>
        <v/>
      </c>
      <c r="J79" s="23">
        <f>SUM(J80:J80)</f>
        <v/>
      </c>
      <c r="K79" s="23">
        <f>SUM(K80:K80)</f>
        <v/>
      </c>
      <c r="L79" s="23">
        <f>SUM(L80:L80)</f>
        <v/>
      </c>
      <c r="M79" s="23">
        <f>SUM(M80:M80)</f>
        <v/>
      </c>
      <c r="N79" s="23">
        <f>SUM(N80:N80)</f>
        <v/>
      </c>
    </row>
    <row r="80">
      <c r="A80" s="14" t="inlineStr">
        <is>
          <t xml:space="preserve">    Miscellaneous</t>
        </is>
      </c>
      <c r="B80" s="17" t="n">
        <v>0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>
        <f>SUM(B80:M80)</f>
        <v/>
      </c>
    </row>
    <row r="81">
      <c r="A81" s="20" t="inlineStr">
        <is>
          <t>TOTAL EXPENSES</t>
        </is>
      </c>
      <c r="B81" s="25">
        <f>B13+B19+B26+B29+B34+B42+B48+B53+B58+B62+B66+B69+B72+B75+B79</f>
        <v/>
      </c>
      <c r="C81" s="25">
        <f>C13+C19+C26+C29+C34+C42+C48+C53+C58+C62+C66+C69+C72+C75+C79</f>
        <v/>
      </c>
      <c r="D81" s="25">
        <f>D13+D19+D26+D29+D34+D42+D48+D53+D58+D62+D66+D69+D72+D75+D79</f>
        <v/>
      </c>
      <c r="E81" s="25">
        <f>E13+E19+E26+E29+E34+E42+E48+E53+E58+E62+E66+E69+E72+E75+E79</f>
        <v/>
      </c>
      <c r="F81" s="25">
        <f>F13+F19+F26+F29+F34+F42+F48+F53+F58+F62+F66+F69+F72+F75+F79</f>
        <v/>
      </c>
      <c r="G81" s="25">
        <f>G13+G19+G26+G29+G34+G42+G48+G53+G58+G62+G66+G69+G72+G75+G79</f>
        <v/>
      </c>
      <c r="H81" s="25">
        <f>H13+H19+H26+H29+H34+H42+H48+H53+H58+H62+H66+H69+H72+H75+H79</f>
        <v/>
      </c>
      <c r="I81" s="25">
        <f>I13+I19+I26+I29+I34+I42+I48+I53+I58+I62+I66+I69+I72+I75+I79</f>
        <v/>
      </c>
      <c r="J81" s="25">
        <f>J13+J19+J26+J29+J34+J42+J48+J53+J58+J62+J66+J69+J72+J75+J79</f>
        <v/>
      </c>
      <c r="K81" s="25">
        <f>K13+K19+K26+K29+K34+K42+K48+K53+K58+K62+K66+K69+K72+K75+K79</f>
        <v/>
      </c>
      <c r="L81" s="25">
        <f>L13+L19+L26+L29+L34+L42+L48+L53+L58+L62+L66+L69+L72+L75+L79</f>
        <v/>
      </c>
      <c r="M81" s="25">
        <f>M13+M19+M26+M29+M34+M42+M48+M53+M58+M62+M66+M69+M72+M75+M79</f>
        <v/>
      </c>
      <c r="N81" s="25">
        <f>N13+N19+N26+N29+N34+N42+N48+N53+N58+N62+N66+N69+N72+N75+N79</f>
        <v/>
      </c>
    </row>
    <row r="83">
      <c r="A83" s="26" t="inlineStr">
        <is>
          <t>NET CASH FLOW</t>
        </is>
      </c>
      <c r="B83" s="27">
        <f>B10-B81</f>
        <v/>
      </c>
      <c r="C83" s="27">
        <f>C10-C81</f>
        <v/>
      </c>
      <c r="D83" s="27">
        <f>D10-D81</f>
        <v/>
      </c>
      <c r="E83" s="27">
        <f>E10-E81</f>
        <v/>
      </c>
      <c r="F83" s="27">
        <f>F10-F81</f>
        <v/>
      </c>
      <c r="G83" s="27">
        <f>G10-G81</f>
        <v/>
      </c>
      <c r="H83" s="27">
        <f>H10-H81</f>
        <v/>
      </c>
      <c r="I83" s="27">
        <f>I10-I81</f>
        <v/>
      </c>
      <c r="J83" s="27">
        <f>J10-J81</f>
        <v/>
      </c>
      <c r="K83" s="27">
        <f>K10-K81</f>
        <v/>
      </c>
      <c r="L83" s="27">
        <f>L10-L81</f>
        <v/>
      </c>
      <c r="M83" s="27">
        <f>M10-M81</f>
        <v/>
      </c>
      <c r="N83" s="27">
        <f>N10-N81</f>
        <v/>
      </c>
    </row>
    <row r="84">
      <c r="A84" s="24" t="inlineStr">
        <is>
          <t>SAVINGS RATE</t>
        </is>
      </c>
      <c r="B84" s="28">
        <f>IFERROR(B83/B10,0)</f>
        <v/>
      </c>
      <c r="C84" s="28">
        <f>IFERROR(C83/C10,0)</f>
        <v/>
      </c>
      <c r="D84" s="28">
        <f>IFERROR(D83/D10,0)</f>
        <v/>
      </c>
      <c r="E84" s="28">
        <f>IFERROR(E83/E10,0)</f>
        <v/>
      </c>
      <c r="F84" s="28">
        <f>IFERROR(F83/F10,0)</f>
        <v/>
      </c>
      <c r="G84" s="28">
        <f>IFERROR(G83/G10,0)</f>
        <v/>
      </c>
      <c r="H84" s="28">
        <f>IFERROR(H83/H10,0)</f>
        <v/>
      </c>
      <c r="I84" s="28">
        <f>IFERROR(I83/I10,0)</f>
        <v/>
      </c>
      <c r="J84" s="28">
        <f>IFERROR(J83/J10,0)</f>
        <v/>
      </c>
      <c r="K84" s="28">
        <f>IFERROR(K83/K10,0)</f>
        <v/>
      </c>
      <c r="L84" s="28">
        <f>IFERROR(L83/L10,0)</f>
        <v/>
      </c>
      <c r="M84" s="28">
        <f>IFERROR(M83/M10,0)</f>
        <v/>
      </c>
      <c r="N84" s="28">
        <f>IFERROR(N83/N10,0)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3" t="inlineStr">
        <is>
          <t>Budget Dashboard – Monthly Summary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29" t="inlineStr">
        <is>
          <t>This dashboard references the 'Monthly Budget' sheet. Enter your data there and this will update automatically.</t>
        </is>
      </c>
    </row>
    <row r="5">
      <c r="A5" s="30" t="inlineStr">
        <is>
          <t>Total Annual Income</t>
        </is>
      </c>
      <c r="B5" s="31" t="n"/>
      <c r="D5" s="32" t="inlineStr">
        <is>
          <t>Total Annual Expenses</t>
        </is>
      </c>
      <c r="E5" s="33" t="n"/>
      <c r="G5" s="34" t="inlineStr">
        <is>
          <t>Annual Net Cash Flow</t>
        </is>
      </c>
      <c r="H5" s="2" t="n"/>
    </row>
    <row r="6">
      <c r="A6" s="35">
        <f>'Monthly Budget'!N10</f>
        <v/>
      </c>
      <c r="B6" s="36" t="n"/>
      <c r="D6" s="37">
        <f>'Monthly Budget'!N81</f>
        <v/>
      </c>
      <c r="E6" s="38" t="n"/>
      <c r="G6" s="39">
        <f>'Monthly Budget'!N83</f>
        <v/>
      </c>
      <c r="H6" s="40" t="n"/>
    </row>
    <row r="9">
      <c r="A9" s="3" t="inlineStr">
        <is>
          <t>Metric</t>
        </is>
      </c>
      <c r="B9" s="3" t="inlineStr">
        <is>
          <t>Jan</t>
        </is>
      </c>
      <c r="C9" s="3" t="inlineStr">
        <is>
          <t>Feb</t>
        </is>
      </c>
      <c r="D9" s="3" t="inlineStr">
        <is>
          <t>Mar</t>
        </is>
      </c>
      <c r="E9" s="3" t="inlineStr">
        <is>
          <t>Apr</t>
        </is>
      </c>
      <c r="F9" s="3" t="inlineStr">
        <is>
          <t>May</t>
        </is>
      </c>
      <c r="G9" s="3" t="inlineStr">
        <is>
          <t>Jun</t>
        </is>
      </c>
      <c r="H9" s="3" t="inlineStr">
        <is>
          <t>Jul</t>
        </is>
      </c>
      <c r="I9" s="3" t="inlineStr">
        <is>
          <t>Aug</t>
        </is>
      </c>
      <c r="J9" s="3" t="inlineStr">
        <is>
          <t>Sep</t>
        </is>
      </c>
      <c r="K9" s="3" t="inlineStr">
        <is>
          <t>Oct</t>
        </is>
      </c>
      <c r="L9" s="3" t="inlineStr">
        <is>
          <t>Nov</t>
        </is>
      </c>
      <c r="M9" s="3" t="inlineStr">
        <is>
          <t>Dec</t>
        </is>
      </c>
    </row>
    <row r="10">
      <c r="A10" s="41" t="inlineStr">
        <is>
          <t>Total Income</t>
        </is>
      </c>
      <c r="B10" s="17">
        <f>'Monthly Budget'!B10</f>
        <v/>
      </c>
      <c r="C10" s="17">
        <f>'Monthly Budget'!C10</f>
        <v/>
      </c>
      <c r="D10" s="17">
        <f>'Monthly Budget'!D10</f>
        <v/>
      </c>
      <c r="E10" s="17">
        <f>'Monthly Budget'!E10</f>
        <v/>
      </c>
      <c r="F10" s="17">
        <f>'Monthly Budget'!F10</f>
        <v/>
      </c>
      <c r="G10" s="17">
        <f>'Monthly Budget'!G10</f>
        <v/>
      </c>
      <c r="H10" s="17">
        <f>'Monthly Budget'!H10</f>
        <v/>
      </c>
      <c r="I10" s="17">
        <f>'Monthly Budget'!I10</f>
        <v/>
      </c>
      <c r="J10" s="17">
        <f>'Monthly Budget'!J10</f>
        <v/>
      </c>
      <c r="K10" s="17">
        <f>'Monthly Budget'!K10</f>
        <v/>
      </c>
      <c r="L10" s="17">
        <f>'Monthly Budget'!L10</f>
        <v/>
      </c>
      <c r="M10" s="17">
        <f>'Monthly Budget'!M10</f>
        <v/>
      </c>
    </row>
    <row r="11">
      <c r="A11" s="42" t="inlineStr">
        <is>
          <t>Total Expenses</t>
        </is>
      </c>
      <c r="B11" s="17">
        <f>'Monthly Budget'!B81</f>
        <v/>
      </c>
      <c r="C11" s="17">
        <f>'Monthly Budget'!C81</f>
        <v/>
      </c>
      <c r="D11" s="17">
        <f>'Monthly Budget'!D81</f>
        <v/>
      </c>
      <c r="E11" s="17">
        <f>'Monthly Budget'!E81</f>
        <v/>
      </c>
      <c r="F11" s="17">
        <f>'Monthly Budget'!F81</f>
        <v/>
      </c>
      <c r="G11" s="17">
        <f>'Monthly Budget'!G81</f>
        <v/>
      </c>
      <c r="H11" s="17">
        <f>'Monthly Budget'!H81</f>
        <v/>
      </c>
      <c r="I11" s="17">
        <f>'Monthly Budget'!I81</f>
        <v/>
      </c>
      <c r="J11" s="17">
        <f>'Monthly Budget'!J81</f>
        <v/>
      </c>
      <c r="K11" s="17">
        <f>'Monthly Budget'!K81</f>
        <v/>
      </c>
      <c r="L11" s="17">
        <f>'Monthly Budget'!L81</f>
        <v/>
      </c>
      <c r="M11" s="17">
        <f>'Monthly Budget'!M81</f>
        <v/>
      </c>
    </row>
    <row r="12">
      <c r="A12" s="43" t="inlineStr">
        <is>
          <t>Net Cash Flow</t>
        </is>
      </c>
      <c r="B12" s="17">
        <f>'Monthly Budget'!B83</f>
        <v/>
      </c>
      <c r="C12" s="17">
        <f>'Monthly Budget'!C83</f>
        <v/>
      </c>
      <c r="D12" s="17">
        <f>'Monthly Budget'!D83</f>
        <v/>
      </c>
      <c r="E12" s="17">
        <f>'Monthly Budget'!E83</f>
        <v/>
      </c>
      <c r="F12" s="17">
        <f>'Monthly Budget'!F83</f>
        <v/>
      </c>
      <c r="G12" s="17">
        <f>'Monthly Budget'!G83</f>
        <v/>
      </c>
      <c r="H12" s="17">
        <f>'Monthly Budget'!H83</f>
        <v/>
      </c>
      <c r="I12" s="17">
        <f>'Monthly Budget'!I83</f>
        <v/>
      </c>
      <c r="J12" s="17">
        <f>'Monthly Budget'!J83</f>
        <v/>
      </c>
      <c r="K12" s="17">
        <f>'Monthly Budget'!K83</f>
        <v/>
      </c>
      <c r="L12" s="17">
        <f>'Monthly Budget'!L83</f>
        <v/>
      </c>
      <c r="M12" s="17">
        <f>'Monthly Budget'!M83</f>
        <v/>
      </c>
    </row>
  </sheetData>
  <mergeCells count="8">
    <mergeCell ref="D6:E6"/>
    <mergeCell ref="A3:H3"/>
    <mergeCell ref="D5:E5"/>
    <mergeCell ref="A5:B5"/>
    <mergeCell ref="G5:H5"/>
    <mergeCell ref="G6:H6"/>
    <mergeCell ref="A1:H1"/>
    <mergeCell ref="A6: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3" t="inlineStr">
        <is>
          <t>Budget vs Actual – Monthly Comparison</t>
        </is>
      </c>
      <c r="B1" s="2" t="n"/>
      <c r="C1" s="2" t="n"/>
      <c r="D1" s="2" t="n"/>
      <c r="E1" s="2" t="n"/>
      <c r="F1" s="2" t="n"/>
    </row>
    <row r="3">
      <c r="A3" s="44" t="inlineStr">
        <is>
          <t>Select Month:</t>
        </is>
      </c>
      <c r="B3" s="45" t="inlineStr">
        <is>
          <t>January</t>
        </is>
      </c>
    </row>
    <row r="5">
      <c r="A5" s="3" t="inlineStr">
        <is>
          <t>Category</t>
        </is>
      </c>
      <c r="B5" s="3" t="inlineStr">
        <is>
          <t>Budget</t>
        </is>
      </c>
      <c r="C5" s="3" t="inlineStr">
        <is>
          <t>Actual</t>
        </is>
      </c>
      <c r="D5" s="3" t="inlineStr">
        <is>
          <t>Variance ($)</t>
        </is>
      </c>
      <c r="E5" s="3" t="inlineStr">
        <is>
          <t>Variance (%)</t>
        </is>
      </c>
      <c r="F5" s="3" t="inlineStr">
        <is>
          <t>Status</t>
        </is>
      </c>
    </row>
    <row r="6">
      <c r="A6" s="14" t="inlineStr">
        <is>
          <t>Housing</t>
        </is>
      </c>
      <c r="B6" s="46" t="n">
        <v>0</v>
      </c>
      <c r="C6" s="46" t="n">
        <v>0</v>
      </c>
      <c r="D6" s="46">
        <f>B6-C6</f>
        <v/>
      </c>
      <c r="E6" s="47">
        <f>IFERROR((B6-C6)/B6,0)</f>
        <v/>
      </c>
      <c r="F6" s="48">
        <f>IF(C6&lt;=B6,"Under Budget","Over Budget")</f>
        <v/>
      </c>
    </row>
    <row r="7">
      <c r="A7" s="14" t="inlineStr">
        <is>
          <t>Bills &amp; Utilities</t>
        </is>
      </c>
      <c r="B7" s="46" t="n">
        <v>0</v>
      </c>
      <c r="C7" s="46" t="n">
        <v>0</v>
      </c>
      <c r="D7" s="46">
        <f>B7-C7</f>
        <v/>
      </c>
      <c r="E7" s="47">
        <f>IFERROR((B7-C7)/B7,0)</f>
        <v/>
      </c>
      <c r="F7" s="48">
        <f>IF(C7&lt;=B7,"Under Budget","Over Budget")</f>
        <v/>
      </c>
    </row>
    <row r="8">
      <c r="A8" s="14" t="inlineStr">
        <is>
          <t>Groceries</t>
        </is>
      </c>
      <c r="B8" s="46" t="n">
        <v>0</v>
      </c>
      <c r="C8" s="46" t="n">
        <v>0</v>
      </c>
      <c r="D8" s="46">
        <f>B8-C8</f>
        <v/>
      </c>
      <c r="E8" s="47">
        <f>IFERROR((B8-C8)/B8,0)</f>
        <v/>
      </c>
      <c r="F8" s="48">
        <f>IF(C8&lt;=B8,"Under Budget","Over Budget")</f>
        <v/>
      </c>
    </row>
    <row r="9">
      <c r="A9" s="14" t="inlineStr">
        <is>
          <t>Dining Out</t>
        </is>
      </c>
      <c r="B9" s="46" t="n">
        <v>0</v>
      </c>
      <c r="C9" s="46" t="n">
        <v>0</v>
      </c>
      <c r="D9" s="46">
        <f>B9-C9</f>
        <v/>
      </c>
      <c r="E9" s="47">
        <f>IFERROR((B9-C9)/B9,0)</f>
        <v/>
      </c>
      <c r="F9" s="48">
        <f>IF(C9&lt;=B9,"Under Budget","Over Budget")</f>
        <v/>
      </c>
    </row>
    <row r="10">
      <c r="A10" s="14" t="inlineStr">
        <is>
          <t>Transportation</t>
        </is>
      </c>
      <c r="B10" s="46" t="n">
        <v>0</v>
      </c>
      <c r="C10" s="46" t="n">
        <v>0</v>
      </c>
      <c r="D10" s="46">
        <f>B10-C10</f>
        <v/>
      </c>
      <c r="E10" s="47">
        <f>IFERROR((B10-C10)/B10,0)</f>
        <v/>
      </c>
      <c r="F10" s="48">
        <f>IF(C10&lt;=B10,"Under Budget","Over Budget")</f>
        <v/>
      </c>
    </row>
    <row r="11">
      <c r="A11" s="14" t="inlineStr">
        <is>
          <t>Shopping</t>
        </is>
      </c>
      <c r="B11" s="46" t="n">
        <v>0</v>
      </c>
      <c r="C11" s="46" t="n">
        <v>0</v>
      </c>
      <c r="D11" s="46">
        <f>B11-C11</f>
        <v/>
      </c>
      <c r="E11" s="47">
        <f>IFERROR((B11-C11)/B11,0)</f>
        <v/>
      </c>
      <c r="F11" s="48">
        <f>IF(C11&lt;=B11,"Under Budget","Over Budget")</f>
        <v/>
      </c>
    </row>
    <row r="12">
      <c r="A12" s="14" t="inlineStr">
        <is>
          <t>Entertainment</t>
        </is>
      </c>
      <c r="B12" s="46" t="n">
        <v>0</v>
      </c>
      <c r="C12" s="46" t="n">
        <v>0</v>
      </c>
      <c r="D12" s="46">
        <f>B12-C12</f>
        <v/>
      </c>
      <c r="E12" s="47">
        <f>IFERROR((B12-C12)/B12,0)</f>
        <v/>
      </c>
      <c r="F12" s="48">
        <f>IF(C12&lt;=B12,"Under Budget","Over Budget")</f>
        <v/>
      </c>
    </row>
    <row r="13">
      <c r="A13" s="14" t="inlineStr">
        <is>
          <t>Health</t>
        </is>
      </c>
      <c r="B13" s="46" t="n">
        <v>0</v>
      </c>
      <c r="C13" s="46" t="n">
        <v>0</v>
      </c>
      <c r="D13" s="46">
        <f>B13-C13</f>
        <v/>
      </c>
      <c r="E13" s="47">
        <f>IFERROR((B13-C13)/B13,0)</f>
        <v/>
      </c>
      <c r="F13" s="48">
        <f>IF(C13&lt;=B13,"Under Budget","Over Budget")</f>
        <v/>
      </c>
    </row>
    <row r="14">
      <c r="A14" s="14" t="inlineStr">
        <is>
          <t>Travel</t>
        </is>
      </c>
      <c r="B14" s="46" t="n">
        <v>0</v>
      </c>
      <c r="C14" s="46" t="n">
        <v>0</v>
      </c>
      <c r="D14" s="46">
        <f>B14-C14</f>
        <v/>
      </c>
      <c r="E14" s="47">
        <f>IFERROR((B14-C14)/B14,0)</f>
        <v/>
      </c>
      <c r="F14" s="48">
        <f>IF(C14&lt;=B14,"Under Budget","Over Budget")</f>
        <v/>
      </c>
    </row>
    <row r="15">
      <c r="A15" s="14" t="inlineStr">
        <is>
          <t>Subscriptions</t>
        </is>
      </c>
      <c r="B15" s="46" t="n">
        <v>0</v>
      </c>
      <c r="C15" s="46" t="n">
        <v>0</v>
      </c>
      <c r="D15" s="46">
        <f>B15-C15</f>
        <v/>
      </c>
      <c r="E15" s="47">
        <f>IFERROR((B15-C15)/B15,0)</f>
        <v/>
      </c>
      <c r="F15" s="48">
        <f>IF(C15&lt;=B15,"Under Budget","Over Budget")</f>
        <v/>
      </c>
    </row>
    <row r="16">
      <c r="A16" s="14" t="inlineStr">
        <is>
          <t>Personal Care</t>
        </is>
      </c>
      <c r="B16" s="46" t="n">
        <v>0</v>
      </c>
      <c r="C16" s="46" t="n">
        <v>0</v>
      </c>
      <c r="D16" s="46">
        <f>B16-C16</f>
        <v/>
      </c>
      <c r="E16" s="47">
        <f>IFERROR((B16-C16)/B16,0)</f>
        <v/>
      </c>
      <c r="F16" s="48">
        <f>IF(C16&lt;=B16,"Under Budget","Over Budget")</f>
        <v/>
      </c>
    </row>
    <row r="17">
      <c r="A17" s="14" t="inlineStr">
        <is>
          <t>Education</t>
        </is>
      </c>
      <c r="B17" s="46" t="n">
        <v>0</v>
      </c>
      <c r="C17" s="46" t="n">
        <v>0</v>
      </c>
      <c r="D17" s="46">
        <f>B17-C17</f>
        <v/>
      </c>
      <c r="E17" s="47">
        <f>IFERROR((B17-C17)/B17,0)</f>
        <v/>
      </c>
      <c r="F17" s="48">
        <f>IF(C17&lt;=B17,"Under Budget","Over Budget")</f>
        <v/>
      </c>
    </row>
    <row r="18">
      <c r="A18" s="14" t="inlineStr">
        <is>
          <t>Gifts &amp; Donations</t>
        </is>
      </c>
      <c r="B18" s="46" t="n">
        <v>0</v>
      </c>
      <c r="C18" s="46" t="n">
        <v>0</v>
      </c>
      <c r="D18" s="46">
        <f>B18-C18</f>
        <v/>
      </c>
      <c r="E18" s="47">
        <f>IFERROR((B18-C18)/B18,0)</f>
        <v/>
      </c>
      <c r="F18" s="48">
        <f>IF(C18&lt;=B18,"Under Budget","Over Budget")</f>
        <v/>
      </c>
    </row>
    <row r="19">
      <c r="A19" s="14" t="inlineStr">
        <is>
          <t>Fees &amp; Charges</t>
        </is>
      </c>
      <c r="B19" s="46" t="n">
        <v>0</v>
      </c>
      <c r="C19" s="46" t="n">
        <v>0</v>
      </c>
      <c r="D19" s="46">
        <f>B19-C19</f>
        <v/>
      </c>
      <c r="E19" s="47">
        <f>IFERROR((B19-C19)/B19,0)</f>
        <v/>
      </c>
      <c r="F19" s="48">
        <f>IF(C19&lt;=B19,"Under Budget","Over Budget")</f>
        <v/>
      </c>
    </row>
    <row r="20">
      <c r="A20" s="14" t="inlineStr">
        <is>
          <t>Other / Uncategorized</t>
        </is>
      </c>
      <c r="B20" s="46" t="n">
        <v>0</v>
      </c>
      <c r="C20" s="46" t="n">
        <v>0</v>
      </c>
      <c r="D20" s="46">
        <f>B20-C20</f>
        <v/>
      </c>
      <c r="E20" s="47">
        <f>IFERROR((B20-C20)/B20,0)</f>
        <v/>
      </c>
      <c r="F20" s="48">
        <f>IF(C20&lt;=B20,"Under Budget","Over Budget")</f>
        <v/>
      </c>
    </row>
    <row r="21">
      <c r="A21" s="49" t="inlineStr">
        <is>
          <t>TOTAL</t>
        </is>
      </c>
      <c r="B21" s="50">
        <f>SUM(B6:B20)</f>
        <v/>
      </c>
      <c r="C21" s="50">
        <f>SUM(C6:C20)</f>
        <v/>
      </c>
      <c r="D21" s="50">
        <f>SUM(D6:D20)</f>
        <v/>
      </c>
      <c r="E21" s="51">
        <f>IFERROR((B21-C21)/B21,0)</f>
        <v/>
      </c>
      <c r="F21" s="49">
        <f>IF(C21&lt;=B21,"Under Budget","Over Budget")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38" customWidth="1" min="4" max="4"/>
    <col width="22" customWidth="1" min="5" max="5"/>
    <col width="22" customWidth="1" min="6" max="6"/>
    <col width="10" customWidth="1" min="7" max="7"/>
    <col width="20" customWidth="1" min="8" max="8"/>
  </cols>
  <sheetData>
    <row r="1">
      <c r="A1" s="13" t="inlineStr">
        <is>
          <t>Transaction Log – Raw Transaction Data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Date</t>
        </is>
      </c>
      <c r="B3" s="3" t="inlineStr">
        <is>
          <t>Merchant / Description</t>
        </is>
      </c>
      <c r="C3" s="3" t="inlineStr">
        <is>
          <t>Amount</t>
        </is>
      </c>
      <c r="D3" s="3" t="inlineStr">
        <is>
          <t>Plaid Category</t>
        </is>
      </c>
      <c r="E3" s="3" t="inlineStr">
        <is>
          <t>App Category</t>
        </is>
      </c>
      <c r="F3" s="3" t="inlineStr">
        <is>
          <t>Account</t>
        </is>
      </c>
      <c r="G3" s="3" t="inlineStr">
        <is>
          <t>Pending</t>
        </is>
      </c>
      <c r="H3" s="3" t="inlineStr">
        <is>
          <t>Notes</t>
        </is>
      </c>
    </row>
    <row r="4">
      <c r="A4" s="14" t="inlineStr">
        <is>
          <t>2026-01-15</t>
        </is>
      </c>
      <c r="B4" s="14" t="inlineStr">
        <is>
          <t>Whole Foods Market</t>
        </is>
      </c>
      <c r="C4" s="17" t="n">
        <v>87.31999999999999</v>
      </c>
      <c r="D4" s="14" t="inlineStr">
        <is>
          <t>Food and Drink &gt; Groceries</t>
        </is>
      </c>
      <c r="E4" s="14" t="inlineStr">
        <is>
          <t>Groceries</t>
        </is>
      </c>
      <c r="F4" s="14" t="inlineStr">
        <is>
          <t>Checking ****1234</t>
        </is>
      </c>
      <c r="G4" s="14" t="inlineStr">
        <is>
          <t>No</t>
        </is>
      </c>
      <c r="H4" s="14" t="inlineStr"/>
    </row>
    <row r="5">
      <c r="A5" s="14" t="inlineStr">
        <is>
          <t>2026-01-15</t>
        </is>
      </c>
      <c r="B5" s="14" t="inlineStr">
        <is>
          <t>Uber Eats</t>
        </is>
      </c>
      <c r="C5" s="17" t="n">
        <v>32.5</v>
      </c>
      <c r="D5" s="14" t="inlineStr">
        <is>
          <t>Food and Drink &gt; Restaurants &gt; Fast Food</t>
        </is>
      </c>
      <c r="E5" s="14" t="inlineStr">
        <is>
          <t>Dining Out</t>
        </is>
      </c>
      <c r="F5" s="14" t="inlineStr">
        <is>
          <t>Credit Card ****5678</t>
        </is>
      </c>
      <c r="G5" s="14" t="inlineStr">
        <is>
          <t>No</t>
        </is>
      </c>
      <c r="H5" s="14" t="inlineStr"/>
    </row>
    <row r="6">
      <c r="A6" s="14" t="inlineStr">
        <is>
          <t>2026-01-14</t>
        </is>
      </c>
      <c r="B6" s="14" t="inlineStr">
        <is>
          <t>Shell Gas Station</t>
        </is>
      </c>
      <c r="C6" s="17" t="n">
        <v>45</v>
      </c>
      <c r="D6" s="14" t="inlineStr">
        <is>
          <t>Travel &gt; Gas</t>
        </is>
      </c>
      <c r="E6" s="14" t="inlineStr">
        <is>
          <t>Transportation</t>
        </is>
      </c>
      <c r="F6" s="14" t="inlineStr">
        <is>
          <t>Credit Card ****5678</t>
        </is>
      </c>
      <c r="G6" s="14" t="inlineStr">
        <is>
          <t>No</t>
        </is>
      </c>
      <c r="H6" s="14" t="inlineStr"/>
    </row>
    <row r="7">
      <c r="A7" s="14" t="inlineStr">
        <is>
          <t>2026-01-14</t>
        </is>
      </c>
      <c r="B7" s="14" t="inlineStr">
        <is>
          <t>Netflix</t>
        </is>
      </c>
      <c r="C7" s="17" t="n">
        <v>15.99</v>
      </c>
      <c r="D7" s="14" t="inlineStr">
        <is>
          <t>Service &gt; Subscription</t>
        </is>
      </c>
      <c r="E7" s="14" t="inlineStr">
        <is>
          <t>Subscriptions</t>
        </is>
      </c>
      <c r="F7" s="14" t="inlineStr">
        <is>
          <t>Credit Card ****5678</t>
        </is>
      </c>
      <c r="G7" s="14" t="inlineStr">
        <is>
          <t>No</t>
        </is>
      </c>
      <c r="H7" s="14" t="inlineStr">
        <is>
          <t>Monthly</t>
        </is>
      </c>
    </row>
    <row r="8">
      <c r="A8" s="14" t="inlineStr">
        <is>
          <t>2026-01-13</t>
        </is>
      </c>
      <c r="B8" s="14" t="inlineStr">
        <is>
          <t>Target</t>
        </is>
      </c>
      <c r="C8" s="17" t="n">
        <v>124.56</v>
      </c>
      <c r="D8" s="14" t="inlineStr">
        <is>
          <t>Shops &gt; General Merchandise</t>
        </is>
      </c>
      <c r="E8" s="14" t="inlineStr">
        <is>
          <t>Shopping</t>
        </is>
      </c>
      <c r="F8" s="14" t="inlineStr">
        <is>
          <t>Credit Card ****5678</t>
        </is>
      </c>
      <c r="G8" s="14" t="inlineStr">
        <is>
          <t>Yes</t>
        </is>
      </c>
      <c r="H8" s="14" t="inlineStr">
        <is>
          <t>Pending</t>
        </is>
      </c>
    </row>
    <row r="9">
      <c r="A9" s="14" t="inlineStr">
        <is>
          <t>2026-01-13</t>
        </is>
      </c>
      <c r="B9" s="14" t="inlineStr">
        <is>
          <t>Employer Direct Deposit</t>
        </is>
      </c>
      <c r="C9" s="52" t="n">
        <v>-3500</v>
      </c>
      <c r="D9" s="14" t="inlineStr">
        <is>
          <t>Transfer &gt; Payroll</t>
        </is>
      </c>
      <c r="E9" s="14" t="inlineStr">
        <is>
          <t>Income</t>
        </is>
      </c>
      <c r="F9" s="14" t="inlineStr">
        <is>
          <t>Checking ****1234</t>
        </is>
      </c>
      <c r="G9" s="14" t="inlineStr">
        <is>
          <t>No</t>
        </is>
      </c>
      <c r="H9" s="14" t="inlineStr">
        <is>
          <t>Bi-weekly pay</t>
        </is>
      </c>
    </row>
    <row r="10">
      <c r="A10" s="14" t="inlineStr">
        <is>
          <t>2026-01-12</t>
        </is>
      </c>
      <c r="B10" s="14" t="inlineStr">
        <is>
          <t>Walgreens Pharmacy</t>
        </is>
      </c>
      <c r="C10" s="17" t="n">
        <v>22.45</v>
      </c>
      <c r="D10" s="14" t="inlineStr">
        <is>
          <t>Healthcare &gt; Pharmacy</t>
        </is>
      </c>
      <c r="E10" s="14" t="inlineStr">
        <is>
          <t>Health</t>
        </is>
      </c>
      <c r="F10" s="14" t="inlineStr">
        <is>
          <t>Credit Card ****5678</t>
        </is>
      </c>
      <c r="G10" s="14" t="inlineStr">
        <is>
          <t>No</t>
        </is>
      </c>
      <c r="H10" s="14" t="inlineStr"/>
    </row>
    <row r="11">
      <c r="A11" s="14" t="inlineStr">
        <is>
          <t>2026-01-12</t>
        </is>
      </c>
      <c r="B11" s="14" t="inlineStr">
        <is>
          <t>Spotify</t>
        </is>
      </c>
      <c r="C11" s="17" t="n">
        <v>9.99</v>
      </c>
      <c r="D11" s="14" t="inlineStr">
        <is>
          <t>Service &gt; Subscription</t>
        </is>
      </c>
      <c r="E11" s="14" t="inlineStr">
        <is>
          <t>Subscriptions</t>
        </is>
      </c>
      <c r="F11" s="14" t="inlineStr">
        <is>
          <t>Credit Card ****5678</t>
        </is>
      </c>
      <c r="G11" s="14" t="inlineStr">
        <is>
          <t>No</t>
        </is>
      </c>
      <c r="H11" s="14" t="inlineStr">
        <is>
          <t>Monthly</t>
        </is>
      </c>
    </row>
    <row r="12">
      <c r="A12" s="14" t="inlineStr">
        <is>
          <t>2026-01-11</t>
        </is>
      </c>
      <c r="B12" s="14" t="inlineStr">
        <is>
          <t>Rent Payment</t>
        </is>
      </c>
      <c r="C12" s="17" t="n">
        <v>1800</v>
      </c>
      <c r="D12" s="14" t="inlineStr">
        <is>
          <t>Payment &gt; Rent</t>
        </is>
      </c>
      <c r="E12" s="14" t="inlineStr">
        <is>
          <t>Housing</t>
        </is>
      </c>
      <c r="F12" s="14" t="inlineStr">
        <is>
          <t>Checking ****1234</t>
        </is>
      </c>
      <c r="G12" s="14" t="inlineStr">
        <is>
          <t>No</t>
        </is>
      </c>
      <c r="H12" s="14" t="inlineStr">
        <is>
          <t>Monthly rent</t>
        </is>
      </c>
    </row>
    <row r="13">
      <c r="A13" s="14" t="inlineStr">
        <is>
          <t>2026-01-10</t>
        </is>
      </c>
      <c r="B13" s="14" t="inlineStr">
        <is>
          <t>Venmo Transfer</t>
        </is>
      </c>
      <c r="C13" s="17" t="n">
        <v>50</v>
      </c>
      <c r="D13" s="14" t="inlineStr">
        <is>
          <t>Transfer &gt; Third Party</t>
        </is>
      </c>
      <c r="E13" s="14" t="inlineStr">
        <is>
          <t>Transfer</t>
        </is>
      </c>
      <c r="F13" s="14" t="inlineStr">
        <is>
          <t>Checking ****1234</t>
        </is>
      </c>
      <c r="G13" s="14" t="inlineStr">
        <is>
          <t>No</t>
        </is>
      </c>
      <c r="H13" s="14" t="inlineStr">
        <is>
          <t>Split dinner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13" t="inlineStr">
        <is>
          <t>Model Assumptions &amp; Notes</t>
        </is>
      </c>
      <c r="B1" s="2" t="n"/>
      <c r="C1" s="2" t="n"/>
    </row>
    <row r="3">
      <c r="A3" s="3" t="inlineStr">
        <is>
          <t>Topic</t>
        </is>
      </c>
      <c r="B3" s="3" t="inlineStr">
        <is>
          <t>Assumption</t>
        </is>
      </c>
      <c r="C3" s="3" t="inlineStr">
        <is>
          <t>Notes</t>
        </is>
      </c>
    </row>
    <row r="4">
      <c r="A4" s="24" t="inlineStr">
        <is>
          <t>Data Source</t>
        </is>
      </c>
      <c r="B4" s="53" t="inlineStr">
        <is>
          <t>Plaid API (Sandbox mode for Phase 1)</t>
        </is>
      </c>
      <c r="C4" s="54" t="inlineStr">
        <is>
          <t>Production Plaid requires OAuth approval</t>
        </is>
      </c>
    </row>
    <row r="5">
      <c r="A5" s="24" t="inlineStr">
        <is>
          <t>Category System</t>
        </is>
      </c>
      <c r="B5" s="53" t="inlineStr">
        <is>
          <t>17 categories mapped from Plaid's 3-level hierarchy</t>
        </is>
      </c>
      <c r="C5" s="54" t="inlineStr">
        <is>
          <t>User overrides take priority over Plaid auto-categorization</t>
        </is>
      </c>
    </row>
    <row r="6">
      <c r="A6" s="24" t="inlineStr">
        <is>
          <t>Transfer Handling</t>
        </is>
      </c>
      <c r="B6" s="53" t="inlineStr">
        <is>
          <t>Transfers excluded from income/expense totals</t>
        </is>
      </c>
      <c r="C6" s="54" t="inlineStr">
        <is>
          <t>Categorized separately to avoid double-counting</t>
        </is>
      </c>
    </row>
    <row r="7">
      <c r="A7" s="24" t="inlineStr">
        <is>
          <t>Pending Transactions</t>
        </is>
      </c>
      <c r="B7" s="53" t="inlineStr">
        <is>
          <t>Included in log with 'Pending' flag</t>
        </is>
      </c>
      <c r="C7" s="54" t="inlineStr">
        <is>
          <t>Will update on next Plaid sync</t>
        </is>
      </c>
    </row>
    <row r="8">
      <c r="A8" s="24" t="inlineStr">
        <is>
          <t>Income Recognition</t>
        </is>
      </c>
      <c r="B8" s="53" t="inlineStr">
        <is>
          <t>Income = negative amounts in Plaid (money flowing in)</t>
        </is>
      </c>
      <c r="C8" s="54" t="inlineStr">
        <is>
          <t>Payroll, refunds, interest (positive)</t>
        </is>
      </c>
    </row>
    <row r="9">
      <c r="A9" s="24" t="inlineStr">
        <is>
          <t>Expense Recognition</t>
        </is>
      </c>
      <c r="B9" s="53" t="inlineStr">
        <is>
          <t>Expenses = positive amounts in Plaid (money flowing out)</t>
        </is>
      </c>
      <c r="C9" s="54" t="inlineStr">
        <is>
          <t>All spending categories</t>
        </is>
      </c>
    </row>
    <row r="10">
      <c r="A10" s="24" t="inlineStr">
        <is>
          <t>Currency</t>
        </is>
      </c>
      <c r="B10" s="53" t="inlineStr">
        <is>
          <t>USD only for Phase 1</t>
        </is>
      </c>
      <c r="C10" s="54" t="inlineStr">
        <is>
          <t>Multi-currency support out of scope</t>
        </is>
      </c>
    </row>
    <row r="11">
      <c r="A11" s="24" t="inlineStr">
        <is>
          <t>Time Period</t>
        </is>
      </c>
      <c r="B11" s="53" t="inlineStr">
        <is>
          <t>Monthly reporting periods</t>
        </is>
      </c>
      <c r="C11" s="54" t="inlineStr">
        <is>
          <t>Calendar month boundaries</t>
        </is>
      </c>
    </row>
    <row r="12">
      <c r="A12" s="24" t="inlineStr">
        <is>
          <t>Budget Method</t>
        </is>
      </c>
      <c r="B12" s="53" t="inlineStr">
        <is>
          <t>Zero-based budgeting approach</t>
        </is>
      </c>
      <c r="C12" s="54" t="inlineStr">
        <is>
          <t>Every dollar assigned a category</t>
        </is>
      </c>
    </row>
    <row r="13">
      <c r="A13" s="24" t="inlineStr">
        <is>
          <t>Savings Rate</t>
        </is>
      </c>
      <c r="B13" s="53">
        <f> Net Cash Flow / Total Income</f>
        <v/>
      </c>
      <c r="C13" s="54" t="inlineStr">
        <is>
          <t>Target: 20%+ for healthy finances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2026-02-07T18:58:28Z</dcterms:created>
  <dcterms:modified xsi:type="dcterms:W3CDTF">2026-02-07T18:58:28Z</dcterms:modified>
</cp:coreProperties>
</file>